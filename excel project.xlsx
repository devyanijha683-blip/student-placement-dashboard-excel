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HP\Downloads\"/>
    </mc:Choice>
  </mc:AlternateContent>
  <xr:revisionPtr revIDLastSave="0" documentId="8_{8B67D0F0-573F-4AAB-8C9E-74ECD4DE90F3}" xr6:coauthVersionLast="47" xr6:coauthVersionMax="47" xr10:uidLastSave="{00000000-0000-0000-0000-000000000000}"/>
  <bookViews>
    <workbookView xWindow="-120" yWindow="-120" windowWidth="20730" windowHeight="11040" xr2:uid="{9AE7F87C-F4C3-41E7-980B-2D629B3BBB16}"/>
  </bookViews>
  <sheets>
    <sheet name="report " sheetId="3" r:id="rId1"/>
    <sheet name="sales vs order" sheetId="2" r:id="rId2"/>
    <sheet name="men vs women" sheetId="4" r:id="rId3"/>
    <sheet name="Sheet7" sheetId="7" r:id="rId4"/>
    <sheet name="Sheet12" sheetId="12" r:id="rId5"/>
    <sheet name="age group" sheetId="13" r:id="rId6"/>
    <sheet name="Sheet1" sheetId="1" r:id="rId7"/>
  </sheets>
  <definedNames>
    <definedName name="_xlcn.WorksheetConnection_Sheet1A1N2011" hidden="1">Sheet1!$A$1:$O$201</definedName>
    <definedName name="_xlcn.WorksheetConnection_Sheet1AM1" hidden="1">Sheet1!$A:$N</definedName>
    <definedName name="Slicer_Category">#N/A</definedName>
    <definedName name="Slicer_Month">#N/A</definedName>
    <definedName name="Slicer_Sales">#N/A</definedName>
  </definedNames>
  <calcPr calcId="191029"/>
  <pivotCaches>
    <pivotCache cacheId="12" r:id="rId8"/>
    <pivotCache cacheId="14" r:id="rId9"/>
    <pivotCache cacheId="16" r:id="rId10"/>
    <pivotCache cacheId="18" r:id="rId11"/>
    <pivotCache cacheId="20" r:id="rId12"/>
  </pivotCaches>
  <extLst>
    <ext xmlns:x14="http://schemas.microsoft.com/office/spreadsheetml/2009/9/main" uri="{876F7934-8845-4945-9796-88D515C7AA90}">
      <x14:pivotCaches>
        <pivotCache cacheId="5"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M"/>
          <x15:modelTable id="Range 1" name="Range 1" connection="WorksheetConnection_Sheet1!$A$1:$N$2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 i="1"/>
  <c r="M99" i="1"/>
  <c r="N99" i="1" s="1"/>
  <c r="M100" i="1"/>
  <c r="N100" i="1" s="1"/>
  <c r="M101" i="1"/>
  <c r="N101" i="1" s="1"/>
  <c r="M102" i="1"/>
  <c r="N102" i="1" s="1"/>
  <c r="M103" i="1"/>
  <c r="N103" i="1" s="1"/>
  <c r="M104" i="1"/>
  <c r="N104" i="1" s="1"/>
  <c r="M105" i="1"/>
  <c r="N105" i="1" s="1"/>
  <c r="M106" i="1"/>
  <c r="N106" i="1" s="1"/>
  <c r="M107" i="1"/>
  <c r="N107" i="1" s="1"/>
  <c r="M108" i="1"/>
  <c r="N108" i="1" s="1"/>
  <c r="M109" i="1"/>
  <c r="N109" i="1" s="1"/>
  <c r="M110" i="1"/>
  <c r="N110" i="1" s="1"/>
  <c r="M111" i="1"/>
  <c r="N111" i="1" s="1"/>
  <c r="M112" i="1"/>
  <c r="N112" i="1" s="1"/>
  <c r="M113" i="1"/>
  <c r="N113" i="1" s="1"/>
  <c r="M114" i="1"/>
  <c r="N114" i="1" s="1"/>
  <c r="M115" i="1"/>
  <c r="N115" i="1" s="1"/>
  <c r="M116" i="1"/>
  <c r="N116" i="1" s="1"/>
  <c r="M117" i="1"/>
  <c r="N117" i="1" s="1"/>
  <c r="M118" i="1"/>
  <c r="N118" i="1" s="1"/>
  <c r="M119" i="1"/>
  <c r="N119" i="1" s="1"/>
  <c r="M120" i="1"/>
  <c r="N120" i="1" s="1"/>
  <c r="M121" i="1"/>
  <c r="N121" i="1" s="1"/>
  <c r="M122" i="1"/>
  <c r="N122" i="1" s="1"/>
  <c r="M123" i="1"/>
  <c r="N123" i="1" s="1"/>
  <c r="M124" i="1"/>
  <c r="N124" i="1" s="1"/>
  <c r="M125" i="1"/>
  <c r="N125" i="1" s="1"/>
  <c r="M126" i="1"/>
  <c r="N126" i="1" s="1"/>
  <c r="M127" i="1"/>
  <c r="N127" i="1" s="1"/>
  <c r="M128" i="1"/>
  <c r="N128" i="1" s="1"/>
  <c r="M129" i="1"/>
  <c r="N129" i="1" s="1"/>
  <c r="M130" i="1"/>
  <c r="N130" i="1" s="1"/>
  <c r="M131" i="1"/>
  <c r="N131" i="1" s="1"/>
  <c r="M132" i="1"/>
  <c r="N132" i="1" s="1"/>
  <c r="M133" i="1"/>
  <c r="N133" i="1" s="1"/>
  <c r="M134" i="1"/>
  <c r="N134" i="1" s="1"/>
  <c r="M135" i="1"/>
  <c r="N135" i="1" s="1"/>
  <c r="M136" i="1"/>
  <c r="N136" i="1" s="1"/>
  <c r="M137" i="1"/>
  <c r="N137" i="1" s="1"/>
  <c r="M138" i="1"/>
  <c r="N138" i="1" s="1"/>
  <c r="M139" i="1"/>
  <c r="N139" i="1" s="1"/>
  <c r="M140" i="1"/>
  <c r="N140" i="1" s="1"/>
  <c r="M141" i="1"/>
  <c r="N141" i="1" s="1"/>
  <c r="M142" i="1"/>
  <c r="N142" i="1" s="1"/>
  <c r="M143" i="1"/>
  <c r="N143" i="1" s="1"/>
  <c r="M144" i="1"/>
  <c r="N144" i="1" s="1"/>
  <c r="M145" i="1"/>
  <c r="N145" i="1" s="1"/>
  <c r="M146" i="1"/>
  <c r="N146" i="1" s="1"/>
  <c r="M147" i="1"/>
  <c r="N147" i="1" s="1"/>
  <c r="M148" i="1"/>
  <c r="N148" i="1" s="1"/>
  <c r="M149" i="1"/>
  <c r="N149" i="1" s="1"/>
  <c r="M150" i="1"/>
  <c r="N150" i="1" s="1"/>
  <c r="M151" i="1"/>
  <c r="N151" i="1" s="1"/>
  <c r="M152" i="1"/>
  <c r="N152" i="1" s="1"/>
  <c r="M153" i="1"/>
  <c r="N153" i="1" s="1"/>
  <c r="M154" i="1"/>
  <c r="N154" i="1" s="1"/>
  <c r="M155" i="1"/>
  <c r="N155" i="1" s="1"/>
  <c r="M156" i="1"/>
  <c r="N156" i="1" s="1"/>
  <c r="M157" i="1"/>
  <c r="N157" i="1" s="1"/>
  <c r="M158" i="1"/>
  <c r="N158" i="1" s="1"/>
  <c r="M159" i="1"/>
  <c r="N159" i="1" s="1"/>
  <c r="M160" i="1"/>
  <c r="N160" i="1" s="1"/>
  <c r="M161" i="1"/>
  <c r="N161" i="1" s="1"/>
  <c r="M162" i="1"/>
  <c r="N162" i="1" s="1"/>
  <c r="M163" i="1"/>
  <c r="N163" i="1" s="1"/>
  <c r="M164" i="1"/>
  <c r="N164" i="1" s="1"/>
  <c r="M165" i="1"/>
  <c r="N165" i="1" s="1"/>
  <c r="M166" i="1"/>
  <c r="N166" i="1" s="1"/>
  <c r="M167" i="1"/>
  <c r="N167" i="1" s="1"/>
  <c r="M168" i="1"/>
  <c r="N168" i="1" s="1"/>
  <c r="M169" i="1"/>
  <c r="N169" i="1" s="1"/>
  <c r="M170" i="1"/>
  <c r="N170" i="1" s="1"/>
  <c r="M171" i="1"/>
  <c r="N171" i="1" s="1"/>
  <c r="M172" i="1"/>
  <c r="N172" i="1" s="1"/>
  <c r="M173" i="1"/>
  <c r="N173" i="1" s="1"/>
  <c r="M174" i="1"/>
  <c r="N174" i="1" s="1"/>
  <c r="M175" i="1"/>
  <c r="N175" i="1" s="1"/>
  <c r="M176" i="1"/>
  <c r="N176" i="1" s="1"/>
  <c r="M177" i="1"/>
  <c r="N177" i="1" s="1"/>
  <c r="M178" i="1"/>
  <c r="N178" i="1" s="1"/>
  <c r="M179" i="1"/>
  <c r="N179" i="1" s="1"/>
  <c r="M180" i="1"/>
  <c r="N180" i="1" s="1"/>
  <c r="M181" i="1"/>
  <c r="N181" i="1" s="1"/>
  <c r="M182" i="1"/>
  <c r="N182" i="1" s="1"/>
  <c r="M183" i="1"/>
  <c r="N183" i="1" s="1"/>
  <c r="M184" i="1"/>
  <c r="N184" i="1" s="1"/>
  <c r="M185" i="1"/>
  <c r="N185" i="1" s="1"/>
  <c r="M186" i="1"/>
  <c r="N186" i="1" s="1"/>
  <c r="M187" i="1"/>
  <c r="N187" i="1" s="1"/>
  <c r="M188" i="1"/>
  <c r="N188" i="1" s="1"/>
  <c r="M189" i="1"/>
  <c r="N189" i="1" s="1"/>
  <c r="M190" i="1"/>
  <c r="N190" i="1" s="1"/>
  <c r="M191" i="1"/>
  <c r="N191" i="1" s="1"/>
  <c r="M192" i="1"/>
  <c r="N192" i="1" s="1"/>
  <c r="M193" i="1"/>
  <c r="N193" i="1" s="1"/>
  <c r="M194" i="1"/>
  <c r="N194" i="1" s="1"/>
  <c r="M195" i="1"/>
  <c r="N195" i="1" s="1"/>
  <c r="M196" i="1"/>
  <c r="N196" i="1" s="1"/>
  <c r="M197" i="1"/>
  <c r="N197" i="1" s="1"/>
  <c r="M198" i="1"/>
  <c r="N198" i="1" s="1"/>
  <c r="M199" i="1"/>
  <c r="N199" i="1" s="1"/>
  <c r="M200" i="1"/>
  <c r="N200" i="1" s="1"/>
  <c r="M201" i="1"/>
  <c r="N201" i="1" s="1"/>
  <c r="M3" i="1"/>
  <c r="N3" i="1" s="1"/>
  <c r="M4" i="1"/>
  <c r="N4" i="1" s="1"/>
  <c r="M5" i="1"/>
  <c r="N5" i="1" s="1"/>
  <c r="M6" i="1"/>
  <c r="N6" i="1" s="1"/>
  <c r="M7" i="1"/>
  <c r="N7" i="1" s="1"/>
  <c r="M8" i="1"/>
  <c r="N8" i="1" s="1"/>
  <c r="M9" i="1"/>
  <c r="N9" i="1" s="1"/>
  <c r="M10" i="1"/>
  <c r="N10" i="1" s="1"/>
  <c r="M11" i="1"/>
  <c r="N11" i="1" s="1"/>
  <c r="M12" i="1"/>
  <c r="N12" i="1" s="1"/>
  <c r="M13" i="1"/>
  <c r="N13" i="1" s="1"/>
  <c r="M14" i="1"/>
  <c r="N14" i="1" s="1"/>
  <c r="M15" i="1"/>
  <c r="N15" i="1" s="1"/>
  <c r="M16" i="1"/>
  <c r="N16" i="1" s="1"/>
  <c r="M17" i="1"/>
  <c r="N17" i="1" s="1"/>
  <c r="M18" i="1"/>
  <c r="N18" i="1" s="1"/>
  <c r="M19" i="1"/>
  <c r="N19" i="1" s="1"/>
  <c r="M20" i="1"/>
  <c r="N20" i="1" s="1"/>
  <c r="M21" i="1"/>
  <c r="N21" i="1" s="1"/>
  <c r="M22" i="1"/>
  <c r="N22" i="1" s="1"/>
  <c r="M23" i="1"/>
  <c r="N23" i="1" s="1"/>
  <c r="M24" i="1"/>
  <c r="N24" i="1" s="1"/>
  <c r="M25" i="1"/>
  <c r="N25" i="1" s="1"/>
  <c r="M26" i="1"/>
  <c r="N26" i="1" s="1"/>
  <c r="M27" i="1"/>
  <c r="N27" i="1" s="1"/>
  <c r="M28" i="1"/>
  <c r="N28" i="1" s="1"/>
  <c r="M29" i="1"/>
  <c r="N29" i="1" s="1"/>
  <c r="M30" i="1"/>
  <c r="N30" i="1" s="1"/>
  <c r="M31" i="1"/>
  <c r="N31" i="1" s="1"/>
  <c r="M32" i="1"/>
  <c r="N32" i="1" s="1"/>
  <c r="M33" i="1"/>
  <c r="N33" i="1" s="1"/>
  <c r="M34" i="1"/>
  <c r="N34" i="1" s="1"/>
  <c r="M35" i="1"/>
  <c r="N35" i="1" s="1"/>
  <c r="M36" i="1"/>
  <c r="N36" i="1" s="1"/>
  <c r="M37" i="1"/>
  <c r="N37" i="1" s="1"/>
  <c r="M38" i="1"/>
  <c r="N38" i="1" s="1"/>
  <c r="M39" i="1"/>
  <c r="N39" i="1" s="1"/>
  <c r="M40" i="1"/>
  <c r="N40" i="1" s="1"/>
  <c r="M41" i="1"/>
  <c r="N41" i="1" s="1"/>
  <c r="M42" i="1"/>
  <c r="N42" i="1" s="1"/>
  <c r="M43" i="1"/>
  <c r="N43" i="1" s="1"/>
  <c r="M44" i="1"/>
  <c r="N44" i="1" s="1"/>
  <c r="M45" i="1"/>
  <c r="N45" i="1" s="1"/>
  <c r="M46" i="1"/>
  <c r="N46" i="1" s="1"/>
  <c r="M47" i="1"/>
  <c r="N47" i="1" s="1"/>
  <c r="M48" i="1"/>
  <c r="N48" i="1" s="1"/>
  <c r="M49" i="1"/>
  <c r="N49" i="1" s="1"/>
  <c r="M50" i="1"/>
  <c r="N50" i="1" s="1"/>
  <c r="M51" i="1"/>
  <c r="N51" i="1" s="1"/>
  <c r="M52" i="1"/>
  <c r="N52" i="1" s="1"/>
  <c r="M53" i="1"/>
  <c r="N53" i="1" s="1"/>
  <c r="M54" i="1"/>
  <c r="N54" i="1" s="1"/>
  <c r="M55" i="1"/>
  <c r="N55" i="1" s="1"/>
  <c r="M56" i="1"/>
  <c r="N56" i="1" s="1"/>
  <c r="M57" i="1"/>
  <c r="N57" i="1" s="1"/>
  <c r="M58" i="1"/>
  <c r="N58" i="1" s="1"/>
  <c r="M59" i="1"/>
  <c r="N59" i="1" s="1"/>
  <c r="M60" i="1"/>
  <c r="N60" i="1" s="1"/>
  <c r="M61" i="1"/>
  <c r="N61" i="1" s="1"/>
  <c r="M62" i="1"/>
  <c r="N62" i="1" s="1"/>
  <c r="M63" i="1"/>
  <c r="N63" i="1" s="1"/>
  <c r="M64" i="1"/>
  <c r="N64" i="1" s="1"/>
  <c r="M65" i="1"/>
  <c r="N65" i="1" s="1"/>
  <c r="M66" i="1"/>
  <c r="N66" i="1" s="1"/>
  <c r="M67" i="1"/>
  <c r="N67" i="1" s="1"/>
  <c r="M68" i="1"/>
  <c r="N68" i="1" s="1"/>
  <c r="M69" i="1"/>
  <c r="N69" i="1" s="1"/>
  <c r="M70" i="1"/>
  <c r="N70" i="1" s="1"/>
  <c r="M71" i="1"/>
  <c r="N71" i="1" s="1"/>
  <c r="M72" i="1"/>
  <c r="N72" i="1" s="1"/>
  <c r="M73" i="1"/>
  <c r="N73" i="1" s="1"/>
  <c r="M74" i="1"/>
  <c r="N74" i="1" s="1"/>
  <c r="M75" i="1"/>
  <c r="N75" i="1" s="1"/>
  <c r="M76" i="1"/>
  <c r="N76" i="1" s="1"/>
  <c r="M77" i="1"/>
  <c r="N77" i="1" s="1"/>
  <c r="M78" i="1"/>
  <c r="N78" i="1" s="1"/>
  <c r="M79" i="1"/>
  <c r="N79" i="1" s="1"/>
  <c r="M80" i="1"/>
  <c r="N80" i="1" s="1"/>
  <c r="M81" i="1"/>
  <c r="N81" i="1" s="1"/>
  <c r="M82" i="1"/>
  <c r="N82" i="1" s="1"/>
  <c r="M83" i="1"/>
  <c r="N83" i="1" s="1"/>
  <c r="M84" i="1"/>
  <c r="N84" i="1" s="1"/>
  <c r="M85" i="1"/>
  <c r="N85" i="1" s="1"/>
  <c r="M86" i="1"/>
  <c r="N86" i="1" s="1"/>
  <c r="M87" i="1"/>
  <c r="N87" i="1" s="1"/>
  <c r="M88" i="1"/>
  <c r="N88" i="1" s="1"/>
  <c r="M89" i="1"/>
  <c r="N89" i="1" s="1"/>
  <c r="M90" i="1"/>
  <c r="N90" i="1" s="1"/>
  <c r="M91" i="1"/>
  <c r="N91" i="1" s="1"/>
  <c r="M92" i="1"/>
  <c r="N92" i="1" s="1"/>
  <c r="M93" i="1"/>
  <c r="N93" i="1" s="1"/>
  <c r="M94" i="1"/>
  <c r="N94" i="1" s="1"/>
  <c r="M95" i="1"/>
  <c r="N95" i="1" s="1"/>
  <c r="M96" i="1"/>
  <c r="N96" i="1" s="1"/>
  <c r="M97" i="1"/>
  <c r="N97" i="1" s="1"/>
  <c r="M98" i="1"/>
  <c r="N98" i="1" s="1"/>
  <c r="M2" i="1"/>
  <c r="N2" i="1" s="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B06AF3-F56C-4AA0-B0BB-99D5850EA1A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B1604F8-E0ED-4998-A253-BE622ADE64F7}" name="WorksheetConnection_Sheet1!$A$1:$N$201" type="102" refreshedVersion="8" minRefreshableVersion="5">
    <extLst>
      <ext xmlns:x15="http://schemas.microsoft.com/office/spreadsheetml/2010/11/main" uri="{DE250136-89BD-433C-8126-D09CA5730AF9}">
        <x15:connection id="Range 1" autoDelete="1">
          <x15:rangePr sourceName="_xlcn.WorksheetConnection_Sheet1A1N2011"/>
        </x15:connection>
      </ext>
    </extLst>
  </connection>
  <connection id="3" xr16:uid="{B7300B72-E5BF-4A81-BB56-2FAB6C515A18}" name="WorksheetConnection_Sheet1!$A:$M" type="102" refreshedVersion="8" minRefreshableVersion="5">
    <extLst>
      <ext xmlns:x15="http://schemas.microsoft.com/office/spreadsheetml/2010/11/main" uri="{DE250136-89BD-433C-8126-D09CA5730AF9}">
        <x15:connection id="Range" autoDelete="1">
          <x15:rangePr sourceName="_xlcn.WorksheetConnection_Sheet1AM1"/>
        </x15:connection>
      </ext>
    </extLst>
  </connection>
</connections>
</file>

<file path=xl/sharedStrings.xml><?xml version="1.0" encoding="utf-8"?>
<sst xmlns="http://schemas.openxmlformats.org/spreadsheetml/2006/main" count="648" uniqueCount="53">
  <si>
    <t>Order ID</t>
  </si>
  <si>
    <t>Date</t>
  </si>
  <si>
    <t>Product</t>
  </si>
  <si>
    <t>Category</t>
  </si>
  <si>
    <t>Quantity</t>
  </si>
  <si>
    <t>Sales</t>
  </si>
  <si>
    <t>Profit</t>
  </si>
  <si>
    <t>Region</t>
  </si>
  <si>
    <t>Mouse</t>
  </si>
  <si>
    <t>Electronics</t>
  </si>
  <si>
    <t>South</t>
  </si>
  <si>
    <t>North</t>
  </si>
  <si>
    <t>Laptop</t>
  </si>
  <si>
    <t>Monitor</t>
  </si>
  <si>
    <t>East</t>
  </si>
  <si>
    <t>Headphones</t>
  </si>
  <si>
    <t>West</t>
  </si>
  <si>
    <t>Keyboard</t>
  </si>
  <si>
    <t>Printer</t>
  </si>
  <si>
    <t>Chair</t>
  </si>
  <si>
    <t>Furniture</t>
  </si>
  <si>
    <t>Desk</t>
  </si>
  <si>
    <t>Gender</t>
  </si>
  <si>
    <t>Age</t>
  </si>
  <si>
    <t>Age group</t>
  </si>
  <si>
    <t>Month</t>
  </si>
  <si>
    <t>amount</t>
  </si>
  <si>
    <t>Sum of amount</t>
  </si>
  <si>
    <t>Sum of Order ID</t>
  </si>
  <si>
    <t>Row Labels</t>
  </si>
  <si>
    <t>Feb</t>
  </si>
  <si>
    <t>Store Report  Annual  2026</t>
  </si>
  <si>
    <t>Female</t>
  </si>
  <si>
    <t>Male</t>
  </si>
  <si>
    <t>order status</t>
  </si>
  <si>
    <t>Cancelled</t>
  </si>
  <si>
    <t>Deliverd</t>
  </si>
  <si>
    <t>Pending</t>
  </si>
  <si>
    <t>Ship State</t>
  </si>
  <si>
    <t>Column Labels</t>
  </si>
  <si>
    <t>West Bengal</t>
  </si>
  <si>
    <t>Adult</t>
  </si>
  <si>
    <t>Senior</t>
  </si>
  <si>
    <t>Teenager</t>
  </si>
  <si>
    <t>Arunachal Pradesh</t>
  </si>
  <si>
    <t>Maharashtra</t>
  </si>
  <si>
    <t>Odisha</t>
  </si>
  <si>
    <t>Haryana</t>
  </si>
  <si>
    <t>pending orders accounted for 33%.</t>
  </si>
  <si>
    <t>Delivered orders accounted for 38%.</t>
  </si>
  <si>
    <t>cancelled orders accounted for 29%.</t>
  </si>
  <si>
    <t>key Insights</t>
  </si>
  <si>
    <t>male customers contributed 63%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</si>
</sst>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M&quot;"/>
  </numFmts>
  <fonts count="6">
    <font>
      <sz val="11"/>
      <color theme="1"/>
      <name val="Aptos Narrow"/>
      <family val="2"/>
      <scheme val="minor"/>
    </font>
    <font>
      <sz val="10"/>
      <color theme="1"/>
      <name val="Arial Unicode MS"/>
    </font>
    <font>
      <sz val="8"/>
      <name val="Aptos Narrow"/>
      <family val="2"/>
      <scheme val="minor"/>
    </font>
    <font>
      <sz val="16"/>
      <color theme="1"/>
      <name val="Aptos Narrow"/>
      <family val="2"/>
      <scheme val="minor"/>
    </font>
    <font>
      <b/>
      <sz val="16"/>
      <color theme="1"/>
      <name val="Aptos Narrow"/>
      <family val="2"/>
      <scheme val="minor"/>
    </font>
    <font>
      <b/>
      <sz val="14"/>
      <color theme="1"/>
      <name val="Aptos Narrow"/>
      <family val="2"/>
      <scheme val="minor"/>
    </font>
  </fonts>
  <fills count="6">
    <fill>
      <patternFill patternType="none"/>
    </fill>
    <fill>
      <patternFill patternType="gray125"/>
    </fill>
    <fill>
      <patternFill patternType="solid">
        <fgColor theme="5" tint="-0.249977111117893"/>
        <bgColor indexed="64"/>
      </patternFill>
    </fill>
    <fill>
      <patternFill patternType="solid">
        <fgColor theme="0" tint="-0.249977111117893"/>
        <bgColor indexed="64"/>
      </patternFill>
    </fill>
    <fill>
      <patternFill patternType="solid">
        <fgColor theme="3" tint="0.249977111117893"/>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5">
    <xf numFmtId="0" fontId="0" fillId="0" borderId="0" xfId="0"/>
    <xf numFmtId="14" fontId="0" fillId="0" borderId="0" xfId="0" applyNumberFormat="1" applyAlignment="1">
      <alignment horizontal="center"/>
    </xf>
    <xf numFmtId="0" fontId="0" fillId="0" borderId="0" xfId="0" applyAlignment="1">
      <alignment horizontal="center"/>
    </xf>
    <xf numFmtId="0" fontId="1" fillId="0" borderId="0" xfId="0" applyFont="1" applyAlignment="1">
      <alignment horizontal="center" vertical="center"/>
    </xf>
    <xf numFmtId="0" fontId="0" fillId="0" borderId="0" xfId="0" pivotButton="1"/>
    <xf numFmtId="0" fontId="0" fillId="0" borderId="0" xfId="0" applyAlignment="1">
      <alignment horizontal="left"/>
    </xf>
    <xf numFmtId="0" fontId="0" fillId="3" borderId="0" xfId="0" applyFill="1"/>
    <xf numFmtId="10" fontId="0" fillId="0" borderId="0" xfId="0" applyNumberFormat="1"/>
    <xf numFmtId="164" fontId="0" fillId="0" borderId="0" xfId="0" applyNumberFormat="1"/>
    <xf numFmtId="0" fontId="0" fillId="4" borderId="0" xfId="0" applyFill="1"/>
    <xf numFmtId="0" fontId="0" fillId="5" borderId="0" xfId="0" applyFill="1"/>
    <xf numFmtId="0" fontId="4" fillId="0" borderId="0" xfId="0" applyFont="1"/>
    <xf numFmtId="0" fontId="5" fillId="0" borderId="0" xfId="0" applyFont="1"/>
    <xf numFmtId="0" fontId="3" fillId="2" borderId="0" xfId="0" applyFont="1" applyFill="1" applyAlignment="1">
      <alignment horizontal="center" vertical="top"/>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3.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1.xml"/><Relationship Id="rId22"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project.xlsx]sales vs order!PivotTable1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 VS Sales </a:t>
            </a:r>
          </a:p>
        </c:rich>
      </c:tx>
      <c:layout>
        <c:manualLayout>
          <c:xMode val="edge"/>
          <c:yMode val="edge"/>
          <c:x val="0.18409011373578299"/>
          <c:y val="1.8518518518518517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3284549600234549"/>
          <c:y val="0.18665520964429239"/>
          <c:w val="0.59400393700787402"/>
          <c:h val="0.72125801983085447"/>
        </c:manualLayout>
      </c:layout>
      <c:barChart>
        <c:barDir val="col"/>
        <c:grouping val="clustered"/>
        <c:varyColors val="0"/>
        <c:ser>
          <c:idx val="0"/>
          <c:order val="0"/>
          <c:tx>
            <c:strRef>
              <c:f>'sales vs order'!$B$3</c:f>
              <c:strCache>
                <c:ptCount val="1"/>
                <c:pt idx="0">
                  <c:v>Sum of amount</c:v>
                </c:pt>
              </c:strCache>
            </c:strRef>
          </c:tx>
          <c:spPr>
            <a:solidFill>
              <a:schemeClr val="accent1"/>
            </a:solidFill>
            <a:ln>
              <a:noFill/>
            </a:ln>
            <a:effectLst/>
          </c:spPr>
          <c:invertIfNegative val="0"/>
          <c:cat>
            <c:strRef>
              <c:f>'sales vs order'!$A$4</c:f>
              <c:strCache>
                <c:ptCount val="1"/>
                <c:pt idx="0">
                  <c:v>Feb</c:v>
                </c:pt>
              </c:strCache>
            </c:strRef>
          </c:cat>
          <c:val>
            <c:numRef>
              <c:f>'sales vs order'!$B$4</c:f>
              <c:numCache>
                <c:formatCode>General</c:formatCode>
                <c:ptCount val="1"/>
                <c:pt idx="0">
                  <c:v>46933</c:v>
                </c:pt>
              </c:numCache>
            </c:numRef>
          </c:val>
          <c:extLst>
            <c:ext xmlns:c16="http://schemas.microsoft.com/office/drawing/2014/chart" uri="{C3380CC4-5D6E-409C-BE32-E72D297353CC}">
              <c16:uniqueId val="{00000013-7E02-4521-9909-268E83DA5EA4}"/>
            </c:ext>
          </c:extLst>
        </c:ser>
        <c:dLbls>
          <c:showLegendKey val="0"/>
          <c:showVal val="0"/>
          <c:showCatName val="0"/>
          <c:showSerName val="0"/>
          <c:showPercent val="0"/>
          <c:showBubbleSize val="0"/>
        </c:dLbls>
        <c:gapWidth val="219"/>
        <c:overlap val="-27"/>
        <c:axId val="1646258607"/>
        <c:axId val="1201372047"/>
      </c:barChart>
      <c:lineChart>
        <c:grouping val="standard"/>
        <c:varyColors val="0"/>
        <c:ser>
          <c:idx val="1"/>
          <c:order val="1"/>
          <c:tx>
            <c:strRef>
              <c:f>'sales vs order'!$C$3</c:f>
              <c:strCache>
                <c:ptCount val="1"/>
                <c:pt idx="0">
                  <c:v>Sum of Order ID</c:v>
                </c:pt>
              </c:strCache>
            </c:strRef>
          </c:tx>
          <c:spPr>
            <a:ln w="28575" cap="rnd">
              <a:solidFill>
                <a:schemeClr val="accent2"/>
              </a:solidFill>
              <a:round/>
            </a:ln>
            <a:effectLst/>
          </c:spPr>
          <c:marker>
            <c:symbol val="none"/>
          </c:marker>
          <c:cat>
            <c:strRef>
              <c:f>'sales vs order'!$A$4</c:f>
              <c:strCache>
                <c:ptCount val="1"/>
                <c:pt idx="0">
                  <c:v>Feb</c:v>
                </c:pt>
              </c:strCache>
            </c:strRef>
          </c:cat>
          <c:val>
            <c:numRef>
              <c:f>'sales vs order'!$C$4</c:f>
              <c:numCache>
                <c:formatCode>General</c:formatCode>
                <c:ptCount val="1"/>
                <c:pt idx="0">
                  <c:v>1159</c:v>
                </c:pt>
              </c:numCache>
            </c:numRef>
          </c:val>
          <c:smooth val="0"/>
          <c:extLst>
            <c:ext xmlns:c16="http://schemas.microsoft.com/office/drawing/2014/chart" uri="{C3380CC4-5D6E-409C-BE32-E72D297353CC}">
              <c16:uniqueId val="{00000015-7E02-4521-9909-268E83DA5EA4}"/>
            </c:ext>
          </c:extLst>
        </c:ser>
        <c:dLbls>
          <c:showLegendKey val="0"/>
          <c:showVal val="0"/>
          <c:showCatName val="0"/>
          <c:showSerName val="0"/>
          <c:showPercent val="0"/>
          <c:showBubbleSize val="0"/>
        </c:dLbls>
        <c:marker val="1"/>
        <c:smooth val="0"/>
        <c:axId val="33691712"/>
        <c:axId val="1201381167"/>
      </c:lineChart>
      <c:catAx>
        <c:axId val="164625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372047"/>
        <c:crosses val="autoZero"/>
        <c:auto val="1"/>
        <c:lblAlgn val="ctr"/>
        <c:lblOffset val="100"/>
        <c:noMultiLvlLbl val="0"/>
      </c:catAx>
      <c:valAx>
        <c:axId val="1201372047"/>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258607"/>
        <c:crosses val="autoZero"/>
        <c:crossBetween val="between"/>
      </c:valAx>
      <c:valAx>
        <c:axId val="120138116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91712"/>
        <c:crosses val="max"/>
        <c:crossBetween val="between"/>
      </c:valAx>
      <c:catAx>
        <c:axId val="33691712"/>
        <c:scaling>
          <c:orientation val="minMax"/>
        </c:scaling>
        <c:delete val="1"/>
        <c:axPos val="b"/>
        <c:numFmt formatCode="General" sourceLinked="1"/>
        <c:majorTickMark val="out"/>
        <c:minorTickMark val="none"/>
        <c:tickLblPos val="nextTo"/>
        <c:crossAx val="1201381167"/>
        <c:crosses val="autoZero"/>
        <c:auto val="1"/>
        <c:lblAlgn val="ctr"/>
        <c:lblOffset val="100"/>
        <c:noMultiLvlLbl val="0"/>
      </c:catAx>
    </c:plotArea>
    <c:legend>
      <c:legendPos val="r"/>
      <c:layout>
        <c:manualLayout>
          <c:xMode val="edge"/>
          <c:yMode val="edge"/>
          <c:x val="0.5227213473315836"/>
          <c:y val="7.8630796150481043E-4"/>
          <c:w val="0.44672309711286085"/>
          <c:h val="0.11921405657626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project.xlsx]men vs women!PivotTable2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Sales:Men</a:t>
            </a:r>
            <a:r>
              <a:rPr lang="en-IN" baseline="0"/>
              <a:t> VS Women</a:t>
            </a:r>
          </a:p>
          <a:p>
            <a:pPr>
              <a:defRPr/>
            </a:pPr>
            <a:endParaRPr lang="en-IN"/>
          </a:p>
        </c:rich>
      </c:tx>
      <c:layout>
        <c:manualLayout>
          <c:xMode val="edge"/>
          <c:yMode val="edge"/>
          <c:x val="6.2702305898797217E-2"/>
          <c:y val="1.29659665498481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E8E8E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19181234140141121"/>
              <c:y val="0.13614264877340587"/>
            </c:manualLayout>
          </c:layout>
          <c:spPr>
            <a:solidFill>
              <a:srgbClr val="E8E8E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224167594417025"/>
                  <c:h val="0.11329600314722464"/>
                </c:manualLayout>
              </c15:layout>
            </c:ext>
          </c:extLst>
        </c:dLbl>
      </c:pivotFmt>
      <c:pivotFmt>
        <c:idx val="2"/>
        <c:spPr>
          <a:solidFill>
            <a:schemeClr val="accent1"/>
          </a:solidFill>
          <a:ln w="19050">
            <a:solidFill>
              <a:schemeClr val="lt1"/>
            </a:solidFill>
          </a:ln>
          <a:effectLst/>
        </c:spPr>
        <c:dLbl>
          <c:idx val="0"/>
          <c:layout>
            <c:manualLayout>
              <c:x val="-0.18767250669490593"/>
              <c:y val="-0.15559159859817823"/>
            </c:manualLayout>
          </c:layout>
          <c:spPr>
            <a:solidFill>
              <a:srgbClr val="E8E8E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rgbClr val="E8E8E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8767250669490593"/>
              <c:y val="-0.15559159859817823"/>
            </c:manualLayout>
          </c:layout>
          <c:spPr>
            <a:solidFill>
              <a:srgbClr val="E8E8E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9181234140141121"/>
              <c:y val="0.13614264877340587"/>
            </c:manualLayout>
          </c:layout>
          <c:spPr>
            <a:solidFill>
              <a:srgbClr val="E8E8E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224167594417025"/>
                  <c:h val="0.11329600314722464"/>
                </c:manualLayout>
              </c15:layout>
            </c:ext>
          </c:extLst>
        </c:dLbl>
      </c:pivotFmt>
      <c:pivotFmt>
        <c:idx val="6"/>
        <c:spPr>
          <a:solidFill>
            <a:schemeClr val="accent1"/>
          </a:solidFill>
          <a:ln w="19050">
            <a:solidFill>
              <a:schemeClr val="lt1"/>
            </a:solidFill>
          </a:ln>
          <a:effectLst/>
        </c:spPr>
        <c:marker>
          <c:symbol val="none"/>
        </c:marker>
        <c:dLbl>
          <c:idx val="0"/>
          <c:spPr>
            <a:solidFill>
              <a:srgbClr val="E8E8E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0.21220552005903645"/>
              <c:y val="0.20303193661355631"/>
            </c:manualLayout>
          </c:layout>
          <c:spPr>
            <a:solidFill>
              <a:srgbClr val="E8E8E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224167594417025"/>
                  <c:h val="0.11329600314722464"/>
                </c:manualLayout>
              </c15:layout>
            </c:ext>
          </c:extLst>
        </c:dLbl>
      </c:pivotFmt>
    </c:pivotFmts>
    <c:plotArea>
      <c:layout>
        <c:manualLayout>
          <c:layoutTarget val="inner"/>
          <c:xMode val="edge"/>
          <c:yMode val="edge"/>
          <c:x val="0.25916061620173625"/>
          <c:y val="0.19761870464866221"/>
          <c:w val="0.46519255972935142"/>
          <c:h val="0.72107465237355062"/>
        </c:manualLayout>
      </c:layout>
      <c:pieChart>
        <c:varyColors val="1"/>
        <c:ser>
          <c:idx val="0"/>
          <c:order val="0"/>
          <c:tx>
            <c:strRef>
              <c:f>'men vs women'!$B$3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E64-49DE-837E-CB882C738E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64-49DE-837E-CB882C738E73}"/>
              </c:ext>
            </c:extLst>
          </c:dPt>
          <c:dLbls>
            <c:spPr>
              <a:solidFill>
                <a:srgbClr val="E8E8E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'men vs women'!$A$4</c:f>
              <c:strCache>
                <c:ptCount val="1"/>
                <c:pt idx="0">
                  <c:v>Female</c:v>
                </c:pt>
              </c:strCache>
            </c:strRef>
          </c:cat>
          <c:val>
            <c:numRef>
              <c:f>'men vs women'!$B$4</c:f>
              <c:numCache>
                <c:formatCode>General</c:formatCode>
                <c:ptCount val="1"/>
                <c:pt idx="0">
                  <c:v>46933</c:v>
                </c:pt>
              </c:numCache>
            </c:numRef>
          </c:val>
          <c:extLst>
            <c:ext xmlns:c16="http://schemas.microsoft.com/office/drawing/2014/chart" uri="{C3380CC4-5D6E-409C-BE32-E72D297353CC}">
              <c16:uniqueId val="{00000004-1E64-49DE-837E-CB882C738E73}"/>
            </c:ext>
          </c:extLst>
        </c:ser>
        <c:dLbls>
          <c:dLblPos val="ctr"/>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55041960104163024"/>
          <c:y val="9.632930424147047E-3"/>
          <c:w val="0.26456042887383674"/>
          <c:h val="0.105925480744688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project.xlsx]Sheet7!PivotTable4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a:t>
            </a:r>
            <a:r>
              <a:rPr lang="en-IN" baseline="0"/>
              <a:t>  Status</a:t>
            </a:r>
            <a:endParaRPr lang="en-IN"/>
          </a:p>
        </c:rich>
      </c:tx>
      <c:layout>
        <c:manualLayout>
          <c:xMode val="edge"/>
          <c:yMode val="edge"/>
          <c:x val="0.33501144930915527"/>
          <c:y val="1.36986301369863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rgbClr val="E8E8E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rgbClr val="E8E8E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rgbClr val="E8E8E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5F0-42CA-B41B-F44B923FF3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5F0-42CA-B41B-F44B923FF3C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5F0-42CA-B41B-F44B923FF3C3}"/>
              </c:ext>
            </c:extLst>
          </c:dPt>
          <c:dLbls>
            <c:spPr>
              <a:solidFill>
                <a:srgbClr val="E8E8E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Sheet7!$A$4:$A$6</c:f>
              <c:strCache>
                <c:ptCount val="3"/>
                <c:pt idx="0">
                  <c:v>Cancelled</c:v>
                </c:pt>
                <c:pt idx="1">
                  <c:v>Deliverd</c:v>
                </c:pt>
                <c:pt idx="2">
                  <c:v>Pending</c:v>
                </c:pt>
              </c:strCache>
            </c:strRef>
          </c:cat>
          <c:val>
            <c:numRef>
              <c:f>Sheet7!$B$4:$B$6</c:f>
              <c:numCache>
                <c:formatCode>General</c:formatCode>
                <c:ptCount val="3"/>
                <c:pt idx="0">
                  <c:v>64439</c:v>
                </c:pt>
                <c:pt idx="1">
                  <c:v>83298</c:v>
                </c:pt>
                <c:pt idx="2">
                  <c:v>72363</c:v>
                </c:pt>
              </c:numCache>
            </c:numRef>
          </c:val>
          <c:extLst>
            <c:ext xmlns:c16="http://schemas.microsoft.com/office/drawing/2014/chart" uri="{C3380CC4-5D6E-409C-BE32-E72D297353CC}">
              <c16:uniqueId val="{00000006-C5F0-42CA-B41B-F44B923FF3C3}"/>
            </c:ext>
          </c:extLst>
        </c:ser>
        <c:dLbls>
          <c:dLblPos val="ctr"/>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7820114784925174"/>
          <c:y val="0.46157084482345762"/>
          <c:w val="0.21798852150748257"/>
          <c:h val="0.310398465923574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alpha val="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project.xlsx]Sheet12!PivotTable9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 Top 5 State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142014219561725"/>
          <c:y val="0.1689485212409946"/>
          <c:w val="0.55025975138441696"/>
          <c:h val="0.67281769709904882"/>
        </c:manualLayout>
      </c:layout>
      <c:barChart>
        <c:barDir val="bar"/>
        <c:grouping val="clustered"/>
        <c:varyColors val="0"/>
        <c:ser>
          <c:idx val="0"/>
          <c:order val="0"/>
          <c:tx>
            <c:strRef>
              <c:f>Sheet12!$B$3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Sheet12!$A$4:$A$8</c:f>
              <c:strCache>
                <c:ptCount val="5"/>
                <c:pt idx="0">
                  <c:v>Odisha</c:v>
                </c:pt>
                <c:pt idx="1">
                  <c:v>Maharashtra</c:v>
                </c:pt>
                <c:pt idx="2">
                  <c:v>Haryana</c:v>
                </c:pt>
                <c:pt idx="3">
                  <c:v>Arunachal Pradesh</c:v>
                </c:pt>
                <c:pt idx="4">
                  <c:v>West Bengal</c:v>
                </c:pt>
              </c:strCache>
            </c:strRef>
          </c:cat>
          <c:val>
            <c:numRef>
              <c:f>Sheet12!$B$4:$B$8</c:f>
              <c:numCache>
                <c:formatCode>0.00,,"M"</c:formatCode>
                <c:ptCount val="5"/>
                <c:pt idx="0">
                  <c:v>280668</c:v>
                </c:pt>
                <c:pt idx="1">
                  <c:v>258289</c:v>
                </c:pt>
                <c:pt idx="2">
                  <c:v>229440</c:v>
                </c:pt>
                <c:pt idx="3">
                  <c:v>221481</c:v>
                </c:pt>
                <c:pt idx="4">
                  <c:v>216360</c:v>
                </c:pt>
              </c:numCache>
            </c:numRef>
          </c:val>
          <c:extLst>
            <c:ext xmlns:c16="http://schemas.microsoft.com/office/drawing/2014/chart" uri="{C3380CC4-5D6E-409C-BE32-E72D297353CC}">
              <c16:uniqueId val="{00000000-07AC-4945-8027-05C8D88D9A12}"/>
            </c:ext>
          </c:extLst>
        </c:ser>
        <c:dLbls>
          <c:dLblPos val="outEnd"/>
          <c:showLegendKey val="0"/>
          <c:showVal val="1"/>
          <c:showCatName val="0"/>
          <c:showSerName val="0"/>
          <c:showPercent val="0"/>
          <c:showBubbleSize val="0"/>
        </c:dLbls>
        <c:gapWidth val="182"/>
        <c:axId val="152861712"/>
        <c:axId val="155090352"/>
      </c:barChart>
      <c:catAx>
        <c:axId val="152861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90352"/>
        <c:crosses val="autoZero"/>
        <c:auto val="1"/>
        <c:lblAlgn val="ctr"/>
        <c:lblOffset val="100"/>
        <c:noMultiLvlLbl val="0"/>
      </c:catAx>
      <c:valAx>
        <c:axId val="155090352"/>
        <c:scaling>
          <c:orientation val="minMax"/>
        </c:scaling>
        <c:delete val="0"/>
        <c:axPos val="b"/>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61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project.xlsx]age group!PivotTable10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 Age VS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10893035795213"/>
          <c:y val="0.16107113761973324"/>
          <c:w val="0.72193331846579956"/>
          <c:h val="0.70748355791683626"/>
        </c:manualLayout>
      </c:layout>
      <c:barChart>
        <c:barDir val="col"/>
        <c:grouping val="clustered"/>
        <c:varyColors val="0"/>
        <c:ser>
          <c:idx val="0"/>
          <c:order val="0"/>
          <c:tx>
            <c:strRef>
              <c:f>'age group'!$B$3:$B$4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group'!$A$5:$A$7</c:f>
              <c:strCache>
                <c:ptCount val="3"/>
                <c:pt idx="0">
                  <c:v>Adult</c:v>
                </c:pt>
                <c:pt idx="1">
                  <c:v>Senior</c:v>
                </c:pt>
                <c:pt idx="2">
                  <c:v>Teenager</c:v>
                </c:pt>
              </c:strCache>
            </c:strRef>
          </c:cat>
          <c:val>
            <c:numRef>
              <c:f>'age group'!$B$5:$B$7</c:f>
              <c:numCache>
                <c:formatCode>0.00%</c:formatCode>
                <c:ptCount val="3"/>
                <c:pt idx="0">
                  <c:v>0.43855520218082689</c:v>
                </c:pt>
                <c:pt idx="1">
                  <c:v>2.0472512494320763E-2</c:v>
                </c:pt>
                <c:pt idx="2">
                  <c:v>2.9159472966833258E-2</c:v>
                </c:pt>
              </c:numCache>
            </c:numRef>
          </c:val>
          <c:extLst>
            <c:ext xmlns:c16="http://schemas.microsoft.com/office/drawing/2014/chart" uri="{C3380CC4-5D6E-409C-BE32-E72D297353CC}">
              <c16:uniqueId val="{00000000-64E5-49D3-88A3-F89793FD5763}"/>
            </c:ext>
          </c:extLst>
        </c:ser>
        <c:ser>
          <c:idx val="1"/>
          <c:order val="1"/>
          <c:tx>
            <c:strRef>
              <c:f>'age group'!$C$3:$C$4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group'!$A$5:$A$7</c:f>
              <c:strCache>
                <c:ptCount val="3"/>
                <c:pt idx="0">
                  <c:v>Adult</c:v>
                </c:pt>
                <c:pt idx="1">
                  <c:v>Senior</c:v>
                </c:pt>
                <c:pt idx="2">
                  <c:v>Teenager</c:v>
                </c:pt>
              </c:strCache>
            </c:strRef>
          </c:cat>
          <c:val>
            <c:numRef>
              <c:f>'age group'!$C$5:$C$7</c:f>
              <c:numCache>
                <c:formatCode>0.00%</c:formatCode>
                <c:ptCount val="3"/>
                <c:pt idx="0">
                  <c:v>0.48234438891412995</c:v>
                </c:pt>
                <c:pt idx="1">
                  <c:v>0</c:v>
                </c:pt>
                <c:pt idx="2">
                  <c:v>2.9468423443889141E-2</c:v>
                </c:pt>
              </c:numCache>
            </c:numRef>
          </c:val>
          <c:extLst>
            <c:ext xmlns:c16="http://schemas.microsoft.com/office/drawing/2014/chart" uri="{C3380CC4-5D6E-409C-BE32-E72D297353CC}">
              <c16:uniqueId val="{00000001-64E5-49D3-88A3-F89793FD5763}"/>
            </c:ext>
          </c:extLst>
        </c:ser>
        <c:dLbls>
          <c:dLblPos val="outEnd"/>
          <c:showLegendKey val="0"/>
          <c:showVal val="1"/>
          <c:showCatName val="0"/>
          <c:showSerName val="0"/>
          <c:showPercent val="0"/>
          <c:showBubbleSize val="0"/>
        </c:dLbls>
        <c:gapWidth val="219"/>
        <c:overlap val="-27"/>
        <c:axId val="152868672"/>
        <c:axId val="155130672"/>
      </c:barChart>
      <c:catAx>
        <c:axId val="15286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30672"/>
        <c:crosses val="autoZero"/>
        <c:auto val="1"/>
        <c:lblAlgn val="ctr"/>
        <c:lblOffset val="100"/>
        <c:noMultiLvlLbl val="0"/>
      </c:catAx>
      <c:valAx>
        <c:axId val="15513067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68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project.xlsx]sales vs order!PivotTable1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 VS Sales </a:t>
            </a:r>
          </a:p>
        </c:rich>
      </c:tx>
      <c:layout>
        <c:manualLayout>
          <c:xMode val="edge"/>
          <c:yMode val="edge"/>
          <c:x val="0.18409011373578299"/>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80314960629921"/>
          <c:y val="0.17171296296296296"/>
          <c:w val="0.59400393700787402"/>
          <c:h val="0.72125801983085447"/>
        </c:manualLayout>
      </c:layout>
      <c:barChart>
        <c:barDir val="col"/>
        <c:grouping val="clustered"/>
        <c:varyColors val="0"/>
        <c:ser>
          <c:idx val="0"/>
          <c:order val="0"/>
          <c:tx>
            <c:strRef>
              <c:f>'sales vs order'!$B$3</c:f>
              <c:strCache>
                <c:ptCount val="1"/>
                <c:pt idx="0">
                  <c:v>Sum of amount</c:v>
                </c:pt>
              </c:strCache>
            </c:strRef>
          </c:tx>
          <c:spPr>
            <a:solidFill>
              <a:schemeClr val="accent1"/>
            </a:solidFill>
            <a:ln>
              <a:noFill/>
            </a:ln>
            <a:effectLst/>
          </c:spPr>
          <c:invertIfNegative val="0"/>
          <c:cat>
            <c:strRef>
              <c:f>'sales vs order'!$A$4</c:f>
              <c:strCache>
                <c:ptCount val="1"/>
                <c:pt idx="0">
                  <c:v>Feb</c:v>
                </c:pt>
              </c:strCache>
            </c:strRef>
          </c:cat>
          <c:val>
            <c:numRef>
              <c:f>'sales vs order'!$B$4</c:f>
              <c:numCache>
                <c:formatCode>General</c:formatCode>
                <c:ptCount val="1"/>
                <c:pt idx="0">
                  <c:v>46933</c:v>
                </c:pt>
              </c:numCache>
            </c:numRef>
          </c:val>
          <c:extLst>
            <c:ext xmlns:c16="http://schemas.microsoft.com/office/drawing/2014/chart" uri="{C3380CC4-5D6E-409C-BE32-E72D297353CC}">
              <c16:uniqueId val="{00000000-CAF9-4DF2-B076-826D7B82F8BD}"/>
            </c:ext>
          </c:extLst>
        </c:ser>
        <c:dLbls>
          <c:showLegendKey val="0"/>
          <c:showVal val="0"/>
          <c:showCatName val="0"/>
          <c:showSerName val="0"/>
          <c:showPercent val="0"/>
          <c:showBubbleSize val="0"/>
        </c:dLbls>
        <c:gapWidth val="219"/>
        <c:overlap val="-27"/>
        <c:axId val="1646258607"/>
        <c:axId val="1201372047"/>
      </c:barChart>
      <c:lineChart>
        <c:grouping val="standard"/>
        <c:varyColors val="0"/>
        <c:ser>
          <c:idx val="1"/>
          <c:order val="1"/>
          <c:tx>
            <c:strRef>
              <c:f>'sales vs order'!$C$3</c:f>
              <c:strCache>
                <c:ptCount val="1"/>
                <c:pt idx="0">
                  <c:v>Sum of Order ID</c:v>
                </c:pt>
              </c:strCache>
            </c:strRef>
          </c:tx>
          <c:spPr>
            <a:ln w="28575" cap="rnd">
              <a:solidFill>
                <a:schemeClr val="accent2"/>
              </a:solidFill>
              <a:round/>
            </a:ln>
            <a:effectLst/>
          </c:spPr>
          <c:marker>
            <c:symbol val="none"/>
          </c:marker>
          <c:cat>
            <c:strRef>
              <c:f>'sales vs order'!$A$4</c:f>
              <c:strCache>
                <c:ptCount val="1"/>
                <c:pt idx="0">
                  <c:v>Feb</c:v>
                </c:pt>
              </c:strCache>
            </c:strRef>
          </c:cat>
          <c:val>
            <c:numRef>
              <c:f>'sales vs order'!$C$4</c:f>
              <c:numCache>
                <c:formatCode>General</c:formatCode>
                <c:ptCount val="1"/>
                <c:pt idx="0">
                  <c:v>1159</c:v>
                </c:pt>
              </c:numCache>
            </c:numRef>
          </c:val>
          <c:smooth val="0"/>
          <c:extLst>
            <c:ext xmlns:c16="http://schemas.microsoft.com/office/drawing/2014/chart" uri="{C3380CC4-5D6E-409C-BE32-E72D297353CC}">
              <c16:uniqueId val="{00000001-CAF9-4DF2-B076-826D7B82F8BD}"/>
            </c:ext>
          </c:extLst>
        </c:ser>
        <c:dLbls>
          <c:showLegendKey val="0"/>
          <c:showVal val="0"/>
          <c:showCatName val="0"/>
          <c:showSerName val="0"/>
          <c:showPercent val="0"/>
          <c:showBubbleSize val="0"/>
        </c:dLbls>
        <c:marker val="1"/>
        <c:smooth val="0"/>
        <c:axId val="33691712"/>
        <c:axId val="1201381167"/>
      </c:lineChart>
      <c:catAx>
        <c:axId val="164625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372047"/>
        <c:crosses val="autoZero"/>
        <c:auto val="1"/>
        <c:lblAlgn val="ctr"/>
        <c:lblOffset val="100"/>
        <c:noMultiLvlLbl val="0"/>
      </c:catAx>
      <c:valAx>
        <c:axId val="1201372047"/>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258607"/>
        <c:crosses val="autoZero"/>
        <c:crossBetween val="between"/>
      </c:valAx>
      <c:valAx>
        <c:axId val="120138116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91712"/>
        <c:crosses val="max"/>
        <c:crossBetween val="between"/>
      </c:valAx>
      <c:catAx>
        <c:axId val="33691712"/>
        <c:scaling>
          <c:orientation val="minMax"/>
        </c:scaling>
        <c:delete val="1"/>
        <c:axPos val="b"/>
        <c:numFmt formatCode="General" sourceLinked="1"/>
        <c:majorTickMark val="out"/>
        <c:minorTickMark val="none"/>
        <c:tickLblPos val="nextTo"/>
        <c:crossAx val="1201381167"/>
        <c:crosses val="autoZero"/>
        <c:auto val="1"/>
        <c:lblAlgn val="ctr"/>
        <c:lblOffset val="100"/>
        <c:noMultiLvlLbl val="0"/>
      </c:catAx>
      <c:spPr>
        <a:noFill/>
        <a:ln>
          <a:noFill/>
        </a:ln>
        <a:effectLst/>
      </c:spPr>
    </c:plotArea>
    <c:legend>
      <c:legendPos val="r"/>
      <c:layout>
        <c:manualLayout>
          <c:xMode val="edge"/>
          <c:yMode val="edge"/>
          <c:x val="0.5227213473315836"/>
          <c:y val="7.8630796150481043E-4"/>
          <c:w val="0.44672309711286085"/>
          <c:h val="0.11921405657626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project.xlsx]men vs women!PivotTable2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Sales:Men</a:t>
            </a:r>
            <a:r>
              <a:rPr lang="en-IN" baseline="0"/>
              <a:t> VS Women</a:t>
            </a:r>
          </a:p>
          <a:p>
            <a:pPr>
              <a:defRPr/>
            </a:pPr>
            <a:endParaRPr lang="en-IN"/>
          </a:p>
        </c:rich>
      </c:tx>
      <c:layout>
        <c:manualLayout>
          <c:xMode val="edge"/>
          <c:yMode val="edge"/>
          <c:x val="6.2702305898797217E-2"/>
          <c:y val="1.29659665498481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E8E8E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9181234140141121"/>
              <c:y val="0.13614264877340587"/>
            </c:manualLayout>
          </c:layout>
          <c:spPr>
            <a:solidFill>
              <a:srgbClr val="E8E8E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224167594417025"/>
                  <c:h val="0.11329600314722464"/>
                </c:manualLayout>
              </c15:layout>
            </c:ext>
          </c:extLst>
        </c:dLbl>
      </c:pivotFmt>
      <c:pivotFmt>
        <c:idx val="2"/>
        <c:spPr>
          <a:solidFill>
            <a:schemeClr val="accent1"/>
          </a:solidFill>
          <a:ln w="19050">
            <a:solidFill>
              <a:schemeClr val="lt1"/>
            </a:solidFill>
          </a:ln>
          <a:effectLst/>
        </c:spPr>
        <c:dLbl>
          <c:idx val="0"/>
          <c:layout>
            <c:manualLayout>
              <c:x val="-0.18767250669490593"/>
              <c:y val="-0.15559159859817823"/>
            </c:manualLayout>
          </c:layout>
          <c:spPr>
            <a:solidFill>
              <a:srgbClr val="E8E8E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4728267780876911"/>
          <c:y val="0.19761848041407534"/>
          <c:w val="0.46519255972935142"/>
          <c:h val="0.72107465237355062"/>
        </c:manualLayout>
      </c:layout>
      <c:pieChart>
        <c:varyColors val="1"/>
        <c:ser>
          <c:idx val="0"/>
          <c:order val="0"/>
          <c:tx>
            <c:strRef>
              <c:f>'men vs women'!$B$3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F589-4CA5-B18A-B0AC5633C1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589-4CA5-B18A-B0AC5633C125}"/>
              </c:ext>
            </c:extLst>
          </c:dPt>
          <c:dLbls>
            <c:spPr>
              <a:solidFill>
                <a:srgbClr val="E8E8E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'men vs women'!$A$4</c:f>
              <c:strCache>
                <c:ptCount val="1"/>
                <c:pt idx="0">
                  <c:v>Female</c:v>
                </c:pt>
              </c:strCache>
            </c:strRef>
          </c:cat>
          <c:val>
            <c:numRef>
              <c:f>'men vs women'!$B$4</c:f>
              <c:numCache>
                <c:formatCode>General</c:formatCode>
                <c:ptCount val="1"/>
                <c:pt idx="0">
                  <c:v>46933</c:v>
                </c:pt>
              </c:numCache>
            </c:numRef>
          </c:val>
          <c:extLst>
            <c:ext xmlns:c16="http://schemas.microsoft.com/office/drawing/2014/chart" uri="{C3380CC4-5D6E-409C-BE32-E72D297353CC}">
              <c16:uniqueId val="{00000000-F589-4CA5-B18A-B0AC5633C125}"/>
            </c:ext>
          </c:extLst>
        </c:ser>
        <c:dLbls>
          <c:dLblPos val="ctr"/>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55041960104163024"/>
          <c:y val="9.632930424147047E-3"/>
          <c:w val="0.26456042887383674"/>
          <c:h val="0.105925480744688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project.xlsx]Sheet7!PivotTable4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a:t>
            </a:r>
            <a:r>
              <a:rPr lang="en-IN" baseline="0"/>
              <a:t>  Status</a:t>
            </a:r>
            <a:endParaRPr lang="en-IN"/>
          </a:p>
        </c:rich>
      </c:tx>
      <c:layout>
        <c:manualLayout>
          <c:xMode val="edge"/>
          <c:yMode val="edge"/>
          <c:x val="0.33501144930915527"/>
          <c:y val="1.36986301369863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rgbClr val="E8E8E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B62A-4617-A0CA-582482A6BC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C3A-4A34-9310-0704B0AA74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C3A-4A34-9310-0704B0AA7493}"/>
              </c:ext>
            </c:extLst>
          </c:dPt>
          <c:dLbls>
            <c:spPr>
              <a:solidFill>
                <a:srgbClr val="E8E8E8"/>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Sheet7!$A$4:$A$6</c:f>
              <c:strCache>
                <c:ptCount val="3"/>
                <c:pt idx="0">
                  <c:v>Cancelled</c:v>
                </c:pt>
                <c:pt idx="1">
                  <c:v>Deliverd</c:v>
                </c:pt>
                <c:pt idx="2">
                  <c:v>Pending</c:v>
                </c:pt>
              </c:strCache>
            </c:strRef>
          </c:cat>
          <c:val>
            <c:numRef>
              <c:f>Sheet7!$B$4:$B$6</c:f>
              <c:numCache>
                <c:formatCode>General</c:formatCode>
                <c:ptCount val="3"/>
                <c:pt idx="0">
                  <c:v>64439</c:v>
                </c:pt>
                <c:pt idx="1">
                  <c:v>83298</c:v>
                </c:pt>
                <c:pt idx="2">
                  <c:v>72363</c:v>
                </c:pt>
              </c:numCache>
            </c:numRef>
          </c:val>
          <c:extLst>
            <c:ext xmlns:c16="http://schemas.microsoft.com/office/drawing/2014/chart" uri="{C3380CC4-5D6E-409C-BE32-E72D297353CC}">
              <c16:uniqueId val="{00000000-B62A-4617-A0CA-582482A6BCD4}"/>
            </c:ext>
          </c:extLst>
        </c:ser>
        <c:dLbls>
          <c:dLblPos val="ctr"/>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alpha val="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project.xlsx]Sheet12!PivotTable9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 Top 5 State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Sheet12!$A$4:$A$8</c:f>
              <c:strCache>
                <c:ptCount val="5"/>
                <c:pt idx="0">
                  <c:v>Odisha</c:v>
                </c:pt>
                <c:pt idx="1">
                  <c:v>Maharashtra</c:v>
                </c:pt>
                <c:pt idx="2">
                  <c:v>Haryana</c:v>
                </c:pt>
                <c:pt idx="3">
                  <c:v>Arunachal Pradesh</c:v>
                </c:pt>
                <c:pt idx="4">
                  <c:v>West Bengal</c:v>
                </c:pt>
              </c:strCache>
            </c:strRef>
          </c:cat>
          <c:val>
            <c:numRef>
              <c:f>Sheet12!$B$4:$B$8</c:f>
              <c:numCache>
                <c:formatCode>0.00,,"M"</c:formatCode>
                <c:ptCount val="5"/>
                <c:pt idx="0">
                  <c:v>280668</c:v>
                </c:pt>
                <c:pt idx="1">
                  <c:v>258289</c:v>
                </c:pt>
                <c:pt idx="2">
                  <c:v>229440</c:v>
                </c:pt>
                <c:pt idx="3">
                  <c:v>221481</c:v>
                </c:pt>
                <c:pt idx="4">
                  <c:v>216360</c:v>
                </c:pt>
              </c:numCache>
            </c:numRef>
          </c:val>
          <c:extLst>
            <c:ext xmlns:c16="http://schemas.microsoft.com/office/drawing/2014/chart" uri="{C3380CC4-5D6E-409C-BE32-E72D297353CC}">
              <c16:uniqueId val="{00000000-B525-4E11-B53E-465CF4627260}"/>
            </c:ext>
          </c:extLst>
        </c:ser>
        <c:dLbls>
          <c:dLblPos val="outEnd"/>
          <c:showLegendKey val="0"/>
          <c:showVal val="1"/>
          <c:showCatName val="0"/>
          <c:showSerName val="0"/>
          <c:showPercent val="0"/>
          <c:showBubbleSize val="0"/>
        </c:dLbls>
        <c:gapWidth val="182"/>
        <c:axId val="152861712"/>
        <c:axId val="155090352"/>
      </c:barChart>
      <c:catAx>
        <c:axId val="152861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90352"/>
        <c:crosses val="autoZero"/>
        <c:auto val="1"/>
        <c:lblAlgn val="ctr"/>
        <c:lblOffset val="100"/>
        <c:noMultiLvlLbl val="0"/>
      </c:catAx>
      <c:valAx>
        <c:axId val="155090352"/>
        <c:scaling>
          <c:orientation val="minMax"/>
        </c:scaling>
        <c:delete val="0"/>
        <c:axPos val="b"/>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61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project.xlsx]age group!PivotTable10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 Age VS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s>
    <c:plotArea>
      <c:layout/>
      <c:barChart>
        <c:barDir val="col"/>
        <c:grouping val="clustered"/>
        <c:varyColors val="0"/>
        <c:ser>
          <c:idx val="0"/>
          <c:order val="0"/>
          <c:tx>
            <c:strRef>
              <c:f>'age group'!$B$3:$B$4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group'!$A$5:$A$7</c:f>
              <c:strCache>
                <c:ptCount val="3"/>
                <c:pt idx="0">
                  <c:v>Adult</c:v>
                </c:pt>
                <c:pt idx="1">
                  <c:v>Senior</c:v>
                </c:pt>
                <c:pt idx="2">
                  <c:v>Teenager</c:v>
                </c:pt>
              </c:strCache>
            </c:strRef>
          </c:cat>
          <c:val>
            <c:numRef>
              <c:f>'age group'!$B$5:$B$7</c:f>
              <c:numCache>
                <c:formatCode>0.00%</c:formatCode>
                <c:ptCount val="3"/>
                <c:pt idx="0">
                  <c:v>0.43855520218082689</c:v>
                </c:pt>
                <c:pt idx="1">
                  <c:v>2.0472512494320763E-2</c:v>
                </c:pt>
                <c:pt idx="2">
                  <c:v>2.9159472966833258E-2</c:v>
                </c:pt>
              </c:numCache>
            </c:numRef>
          </c:val>
          <c:extLst>
            <c:ext xmlns:c16="http://schemas.microsoft.com/office/drawing/2014/chart" uri="{C3380CC4-5D6E-409C-BE32-E72D297353CC}">
              <c16:uniqueId val="{00000000-FB0D-4393-A60B-4ED16F069AAB}"/>
            </c:ext>
          </c:extLst>
        </c:ser>
        <c:ser>
          <c:idx val="1"/>
          <c:order val="1"/>
          <c:tx>
            <c:strRef>
              <c:f>'age group'!$C$3:$C$4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group'!$A$5:$A$7</c:f>
              <c:strCache>
                <c:ptCount val="3"/>
                <c:pt idx="0">
                  <c:v>Adult</c:v>
                </c:pt>
                <c:pt idx="1">
                  <c:v>Senior</c:v>
                </c:pt>
                <c:pt idx="2">
                  <c:v>Teenager</c:v>
                </c:pt>
              </c:strCache>
            </c:strRef>
          </c:cat>
          <c:val>
            <c:numRef>
              <c:f>'age group'!$C$5:$C$7</c:f>
              <c:numCache>
                <c:formatCode>0.00%</c:formatCode>
                <c:ptCount val="3"/>
                <c:pt idx="0">
                  <c:v>0.48234438891412995</c:v>
                </c:pt>
                <c:pt idx="1">
                  <c:v>0</c:v>
                </c:pt>
                <c:pt idx="2">
                  <c:v>2.9468423443889141E-2</c:v>
                </c:pt>
              </c:numCache>
            </c:numRef>
          </c:val>
          <c:extLst>
            <c:ext xmlns:c16="http://schemas.microsoft.com/office/drawing/2014/chart" uri="{C3380CC4-5D6E-409C-BE32-E72D297353CC}">
              <c16:uniqueId val="{00000001-FB0D-4393-A60B-4ED16F069AAB}"/>
            </c:ext>
          </c:extLst>
        </c:ser>
        <c:dLbls>
          <c:dLblPos val="outEnd"/>
          <c:showLegendKey val="0"/>
          <c:showVal val="1"/>
          <c:showCatName val="0"/>
          <c:showSerName val="0"/>
          <c:showPercent val="0"/>
          <c:showBubbleSize val="0"/>
        </c:dLbls>
        <c:gapWidth val="219"/>
        <c:overlap val="-27"/>
        <c:axId val="152868672"/>
        <c:axId val="155130672"/>
      </c:barChart>
      <c:catAx>
        <c:axId val="15286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30672"/>
        <c:crosses val="autoZero"/>
        <c:auto val="1"/>
        <c:lblAlgn val="ctr"/>
        <c:lblOffset val="100"/>
        <c:noMultiLvlLbl val="0"/>
      </c:catAx>
      <c:valAx>
        <c:axId val="15513067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68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371758</xdr:colOff>
      <xdr:row>1</xdr:row>
      <xdr:rowOff>46454</xdr:rowOff>
    </xdr:from>
    <xdr:to>
      <xdr:col>10</xdr:col>
      <xdr:colOff>136088</xdr:colOff>
      <xdr:row>12</xdr:row>
      <xdr:rowOff>56273</xdr:rowOff>
    </xdr:to>
    <xdr:graphicFrame macro="">
      <xdr:nvGraphicFramePr>
        <xdr:cNvPr id="2" name="Chart 1">
          <a:extLst>
            <a:ext uri="{FF2B5EF4-FFF2-40B4-BE49-F238E27FC236}">
              <a16:creationId xmlns:a16="http://schemas.microsoft.com/office/drawing/2014/main" id="{2C147B00-108C-4CAD-B2C0-F109225F45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402982</xdr:colOff>
      <xdr:row>1</xdr:row>
      <xdr:rowOff>85480</xdr:rowOff>
    </xdr:from>
    <xdr:to>
      <xdr:col>17</xdr:col>
      <xdr:colOff>0</xdr:colOff>
      <xdr:row>12</xdr:row>
      <xdr:rowOff>48845</xdr:rowOff>
    </xdr:to>
    <xdr:graphicFrame macro="">
      <xdr:nvGraphicFramePr>
        <xdr:cNvPr id="3" name="Chart 2">
          <a:extLst>
            <a:ext uri="{FF2B5EF4-FFF2-40B4-BE49-F238E27FC236}">
              <a16:creationId xmlns:a16="http://schemas.microsoft.com/office/drawing/2014/main" id="{BE916521-DBCE-461E-B483-2085AA80D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537310</xdr:colOff>
      <xdr:row>13</xdr:row>
      <xdr:rowOff>29791</xdr:rowOff>
    </xdr:from>
    <xdr:to>
      <xdr:col>17</xdr:col>
      <xdr:colOff>512886</xdr:colOff>
      <xdr:row>23</xdr:row>
      <xdr:rowOff>132291</xdr:rowOff>
    </xdr:to>
    <xdr:graphicFrame macro="">
      <xdr:nvGraphicFramePr>
        <xdr:cNvPr id="4" name="Chart 3">
          <a:extLst>
            <a:ext uri="{FF2B5EF4-FFF2-40B4-BE49-F238E27FC236}">
              <a16:creationId xmlns:a16="http://schemas.microsoft.com/office/drawing/2014/main" id="{2DF14D71-C69C-480F-8055-604B092849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343958</xdr:colOff>
      <xdr:row>1</xdr:row>
      <xdr:rowOff>79375</xdr:rowOff>
    </xdr:from>
    <xdr:to>
      <xdr:col>27</xdr:col>
      <xdr:colOff>291043</xdr:colOff>
      <xdr:row>12</xdr:row>
      <xdr:rowOff>183678</xdr:rowOff>
    </xdr:to>
    <xdr:graphicFrame macro="">
      <xdr:nvGraphicFramePr>
        <xdr:cNvPr id="5" name="Chart 4">
          <a:extLst>
            <a:ext uri="{FF2B5EF4-FFF2-40B4-BE49-F238E27FC236}">
              <a16:creationId xmlns:a16="http://schemas.microsoft.com/office/drawing/2014/main" id="{D2DCD5F0-6213-4C47-86DF-64E2D0C673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311394</xdr:colOff>
      <xdr:row>12</xdr:row>
      <xdr:rowOff>174015</xdr:rowOff>
    </xdr:from>
    <xdr:to>
      <xdr:col>11</xdr:col>
      <xdr:colOff>449792</xdr:colOff>
      <xdr:row>25</xdr:row>
      <xdr:rowOff>26458</xdr:rowOff>
    </xdr:to>
    <xdr:graphicFrame macro="">
      <xdr:nvGraphicFramePr>
        <xdr:cNvPr id="6" name="Chart 5">
          <a:extLst>
            <a:ext uri="{FF2B5EF4-FFF2-40B4-BE49-F238E27FC236}">
              <a16:creationId xmlns:a16="http://schemas.microsoft.com/office/drawing/2014/main" id="{45037273-41D8-4FB7-ADB9-B8F270C904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191722</xdr:colOff>
      <xdr:row>14</xdr:row>
      <xdr:rowOff>52510</xdr:rowOff>
    </xdr:from>
    <xdr:to>
      <xdr:col>3</xdr:col>
      <xdr:colOff>188791</xdr:colOff>
      <xdr:row>21</xdr:row>
      <xdr:rowOff>61058</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BCCC1FC6-C8E6-06FD-5192-C1831227AD7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1722" y="3108448"/>
              <a:ext cx="1822694" cy="16754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179510</xdr:colOff>
      <xdr:row>8</xdr:row>
      <xdr:rowOff>146539</xdr:rowOff>
    </xdr:from>
    <xdr:to>
      <xdr:col>3</xdr:col>
      <xdr:colOff>176579</xdr:colOff>
      <xdr:row>14</xdr:row>
      <xdr:rowOff>24424</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17F5D2BF-4CE4-706E-A26E-63EA74B230E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79510" y="1707581"/>
              <a:ext cx="1822694" cy="13727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183173</xdr:colOff>
      <xdr:row>1</xdr:row>
      <xdr:rowOff>48846</xdr:rowOff>
    </xdr:from>
    <xdr:to>
      <xdr:col>3</xdr:col>
      <xdr:colOff>201002</xdr:colOff>
      <xdr:row>8</xdr:row>
      <xdr:rowOff>109903</xdr:rowOff>
    </xdr:to>
    <mc:AlternateContent xmlns:mc="http://schemas.openxmlformats.org/markup-compatibility/2006" xmlns:a14="http://schemas.microsoft.com/office/drawing/2010/main">
      <mc:Choice Requires="a14">
        <xdr:graphicFrame macro="">
          <xdr:nvGraphicFramePr>
            <xdr:cNvPr id="13" name="Sales">
              <a:extLst>
                <a:ext uri="{FF2B5EF4-FFF2-40B4-BE49-F238E27FC236}">
                  <a16:creationId xmlns:a16="http://schemas.microsoft.com/office/drawing/2014/main" id="{BBDE617B-9CEE-C1F0-D39C-C5949C9B8CFF}"/>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183173" y="313429"/>
              <a:ext cx="1843454" cy="13575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19050</xdr:colOff>
      <xdr:row>1</xdr:row>
      <xdr:rowOff>76200</xdr:rowOff>
    </xdr:from>
    <xdr:to>
      <xdr:col>11</xdr:col>
      <xdr:colOff>247650</xdr:colOff>
      <xdr:row>18</xdr:row>
      <xdr:rowOff>28575</xdr:rowOff>
    </xdr:to>
    <xdr:graphicFrame macro="">
      <xdr:nvGraphicFramePr>
        <xdr:cNvPr id="2" name="Chart 1">
          <a:extLst>
            <a:ext uri="{FF2B5EF4-FFF2-40B4-BE49-F238E27FC236}">
              <a16:creationId xmlns:a16="http://schemas.microsoft.com/office/drawing/2014/main" id="{09802DF4-B944-8D14-085D-D12A581820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295275</xdr:colOff>
      <xdr:row>1</xdr:row>
      <xdr:rowOff>152400</xdr:rowOff>
    </xdr:from>
    <xdr:to>
      <xdr:col>10</xdr:col>
      <xdr:colOff>600075</xdr:colOff>
      <xdr:row>17</xdr:row>
      <xdr:rowOff>42862</xdr:rowOff>
    </xdr:to>
    <xdr:graphicFrame macro="">
      <xdr:nvGraphicFramePr>
        <xdr:cNvPr id="2" name="Chart 1">
          <a:extLst>
            <a:ext uri="{FF2B5EF4-FFF2-40B4-BE49-F238E27FC236}">
              <a16:creationId xmlns:a16="http://schemas.microsoft.com/office/drawing/2014/main" id="{93B862E2-04AA-2266-1474-F6686F72F1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9525</xdr:colOff>
      <xdr:row>3</xdr:row>
      <xdr:rowOff>123824</xdr:rowOff>
    </xdr:from>
    <xdr:to>
      <xdr:col>8</xdr:col>
      <xdr:colOff>552450</xdr:colOff>
      <xdr:row>15</xdr:row>
      <xdr:rowOff>133349</xdr:rowOff>
    </xdr:to>
    <xdr:graphicFrame macro="">
      <xdr:nvGraphicFramePr>
        <xdr:cNvPr id="2" name="Chart 1">
          <a:extLst>
            <a:ext uri="{FF2B5EF4-FFF2-40B4-BE49-F238E27FC236}">
              <a16:creationId xmlns:a16="http://schemas.microsoft.com/office/drawing/2014/main" id="{BC582597-A009-4AAC-FC12-1A519685C6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352425</xdr:colOff>
      <xdr:row>0</xdr:row>
      <xdr:rowOff>85724</xdr:rowOff>
    </xdr:from>
    <xdr:to>
      <xdr:col>9</xdr:col>
      <xdr:colOff>123825</xdr:colOff>
      <xdr:row>13</xdr:row>
      <xdr:rowOff>157161</xdr:rowOff>
    </xdr:to>
    <xdr:graphicFrame macro="">
      <xdr:nvGraphicFramePr>
        <xdr:cNvPr id="2" name="Chart 1">
          <a:extLst>
            <a:ext uri="{FF2B5EF4-FFF2-40B4-BE49-F238E27FC236}">
              <a16:creationId xmlns:a16="http://schemas.microsoft.com/office/drawing/2014/main" id="{41D28C52-F354-58D8-214F-CC9AC98635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190499</xdr:colOff>
      <xdr:row>2</xdr:row>
      <xdr:rowOff>123825</xdr:rowOff>
    </xdr:from>
    <xdr:to>
      <xdr:col>9</xdr:col>
      <xdr:colOff>361950</xdr:colOff>
      <xdr:row>14</xdr:row>
      <xdr:rowOff>114300</xdr:rowOff>
    </xdr:to>
    <xdr:graphicFrame macro="">
      <xdr:nvGraphicFramePr>
        <xdr:cNvPr id="2" name="Chart 1">
          <a:extLst>
            <a:ext uri="{FF2B5EF4-FFF2-40B4-BE49-F238E27FC236}">
              <a16:creationId xmlns:a16="http://schemas.microsoft.com/office/drawing/2014/main" id="{D364ABBE-80A5-346C-4E0D-06EEBE5BC0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7.549695833331" backgroundQuery="1" createdVersion="8" refreshedVersion="8" minRefreshableVersion="3" recordCount="0" supportSubquery="1" supportAdvancedDrill="1" xr:uid="{DDD2F04B-3C4F-47FB-9FBC-81EF0FD74A09}">
  <cacheSource type="external" connectionId="1"/>
  <cacheFields count="5">
    <cacheField name="[Range].[Gender].[Gender]" caption="Gender" numFmtId="0" hierarchy="11" level="1">
      <sharedItems count="2">
        <s v="Female"/>
        <s v="Male" u="1"/>
      </sharedItems>
    </cacheField>
    <cacheField name="[Measures].[Sum of amount]" caption="Sum of amount" numFmtId="0" hierarchy="32" level="32767"/>
    <cacheField name="[Range].[Month].[Month]" caption="Month" numFmtId="0" hierarchy="2" level="1">
      <sharedItems containsSemiMixedTypes="0" containsNonDate="0" containsString="0"/>
    </cacheField>
    <cacheField name="[Range].[Category].[Category]" caption="Category" numFmtId="0" hierarchy="4" level="1">
      <sharedItems containsSemiMixedTypes="0" containsNonDate="0" containsString="0"/>
    </cacheField>
    <cacheField name="[Range].[Sales].[Sales]" caption="Sales" numFmtId="0" hierarchy="7" level="1">
      <sharedItems containsSemiMixedTypes="0" containsNonDate="0" containsString="0"/>
    </cacheField>
  </cacheFields>
  <cacheHierarchies count="37">
    <cacheHierarchy uniqueName="[Range].[Order ID]" caption="Order ID" attribute="1" defaultMemberUniqueName="[Range].[Order ID].[All]" allUniqueName="[Range].[Order ID].[All]" dimensionUniqueName="[Range]" displayFolder="" count="2" memberValueDatatype="20" unbalanced="0"/>
    <cacheHierarchy uniqueName="[Range].[Date]" caption="Date" attribute="1" time="1" defaultMemberUniqueName="[Range].[Date].[All]" allUniqueName="[Range].[Date].[All]" dimensionUniqueName="[Range]" displayFolder="" count="2" memberValueDatatype="7" unbalanced="0"/>
    <cacheHierarchy uniqueName="[Range].[Month]" caption="Month" attribute="1" defaultMemberUniqueName="[Range].[Month].[All]" allUniqueName="[Range].[Month].[All]" dimensionUniqueName="[Range]" displayFolder="" count="2" memberValueDatatype="130" unbalanced="0">
      <fieldsUsage count="2">
        <fieldUsage x="-1"/>
        <fieldUsage x="2"/>
      </fieldsUsage>
    </cacheHierarchy>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3"/>
      </fieldsUsage>
    </cacheHierarchy>
    <cacheHierarchy uniqueName="[Range].[Quantity]" caption="Quantity" attribute="1" defaultMemberUniqueName="[Range].[Quantity].[All]" allUniqueName="[Range].[Quantity].[All]" dimensionUniqueName="[Range]" displayFolder="" count="2" memberValueDatatype="20" unbalanced="0"/>
    <cacheHierarchy uniqueName="[Range].[amount]" caption="amount" attribute="1" defaultMemberUniqueName="[Range].[amount].[All]" allUniqueName="[Range].[amount].[All]" dimensionUniqueName="[Range]" displayFolder="" count="2" memberValueDatatype="20" unbalanced="0"/>
    <cacheHierarchy uniqueName="[Range].[Sales]" caption="Sales" attribute="1" defaultMemberUniqueName="[Range].[Sales].[All]" allUniqueName="[Range].[Sales].[All]" dimensionUniqueName="[Range]" displayFolder="" count="2" memberValueDatatype="20" unbalanced="0">
      <fieldsUsage count="2">
        <fieldUsage x="-1"/>
        <fieldUsage x="4"/>
      </fieldsUsage>
    </cacheHierarchy>
    <cacheHierarchy uniqueName="[Range].[Profit]" caption="Profit" attribute="1" defaultMemberUniqueName="[Range].[Profit].[All]" allUniqueName="[Range].[Profit].[All]" dimensionUniqueName="[Range]" displayFolder="" count="2" memberValueDatatype="20" unbalanced="0"/>
    <cacheHierarchy uniqueName="[Range].[Region]" caption="Region" attribute="1" defaultMemberUniqueName="[Range].[Region].[All]" allUniqueName="[Range].[Region].[All]" dimensionUniqueName="[Range]" displayFolder="" count="2" memberValueDatatype="130" unbalanced="0"/>
    <cacheHierarchy uniqueName="[Range].[Ship State]" caption="Ship State" attribute="1" defaultMemberUniqueName="[Range].[Ship State].[All]" allUniqueName="[Range].[Ship State].[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Age]" caption="Age" attribute="1" defaultMemberUniqueName="[Range].[Age].[All]" allUniqueName="[Range].[Age].[All]" dimensionUniqueName="[Range]" displayFolder="" count="2" memberValueDatatype="20" unbalanced="0"/>
    <cacheHierarchy uniqueName="[Range].[Age group]" caption="Age group" attribute="1" defaultMemberUniqueName="[Range].[Age group].[All]" allUniqueName="[Range].[Age group].[All]" dimensionUniqueName="[Range]" displayFolder="" count="2" memberValueDatatype="130" unbalanced="0"/>
    <cacheHierarchy uniqueName="[Range 1].[Order ID]" caption="Order ID" attribute="1" defaultMemberUniqueName="[Range 1].[Order ID].[All]" allUniqueName="[Range 1].[Order ID].[All]" dimensionUniqueName="[Range 1]" displayFolder="" count="2" memberValueDatatype="20" unbalanced="0"/>
    <cacheHierarchy uniqueName="[Range 1].[Date]" caption="Date" attribute="1" time="1" defaultMemberUniqueName="[Range 1].[Date].[All]" allUniqueName="[Range 1].[Date].[All]" dimensionUniqueName="[Range 1]" displayFolder="" count="2" memberValueDatatype="7" unbalanced="0"/>
    <cacheHierarchy uniqueName="[Range 1].[Month]" caption="Month" attribute="1" defaultMemberUniqueName="[Range 1].[Month].[All]" allUniqueName="[Range 1].[Month].[All]" dimensionUniqueName="[Range 1]" displayFolder="" count="2" memberValueDatatype="130" unbalanced="0"/>
    <cacheHierarchy uniqueName="[Range 1].[Product]" caption="Product" attribute="1" defaultMemberUniqueName="[Range 1].[Product].[All]" allUniqueName="[Range 1].[Product].[All]" dimensionUniqueName="[Range 1]" displayFolder="" count="2" memberValueDatatype="130" unbalanced="0"/>
    <cacheHierarchy uniqueName="[Range 1].[Category]" caption="Category" attribute="1" defaultMemberUniqueName="[Range 1].[Category].[All]" allUniqueName="[Range 1].[Category].[All]" dimensionUniqueName="[Range 1]" displayFolder="" count="2" memberValueDatatype="130" unbalanced="0"/>
    <cacheHierarchy uniqueName="[Range 1].[Quantity]" caption="Quantity" attribute="1" defaultMemberUniqueName="[Range 1].[Quantity].[All]" allUniqueName="[Range 1].[Quantity].[All]" dimensionUniqueName="[Range 1]" displayFolder="" count="2" memberValueDatatype="20" unbalanced="0"/>
    <cacheHierarchy uniqueName="[Range 1].[amount]" caption="amount" attribute="1" defaultMemberUniqueName="[Range 1].[amount].[All]" allUniqueName="[Range 1].[amount].[All]" dimensionUniqueName="[Range 1]" displayFolder="" count="2" memberValueDatatype="20" unbalanced="0"/>
    <cacheHierarchy uniqueName="[Range 1].[Sales]" caption="Sales" attribute="1" defaultMemberUniqueName="[Range 1].[Sales].[All]" allUniqueName="[Range 1].[Sales].[All]" dimensionUniqueName="[Range 1]" displayFolder="" count="2" memberValueDatatype="20" unbalanced="0"/>
    <cacheHierarchy uniqueName="[Range 1].[Profit]" caption="Profit" attribute="1" defaultMemberUniqueName="[Range 1].[Profit].[All]" allUniqueName="[Range 1].[Profit].[All]" dimensionUniqueName="[Range 1]" displayFolder="" count="2" memberValueDatatype="20" unbalanced="0"/>
    <cacheHierarchy uniqueName="[Range 1].[Region]" caption="Region" attribute="1" defaultMemberUniqueName="[Range 1].[Region].[All]" allUniqueName="[Range 1].[Region].[All]" dimensionUniqueName="[Range 1]" displayFolder="" count="2" memberValueDatatype="130" unbalanced="0"/>
    <cacheHierarchy uniqueName="[Range 1].[Ship State]" caption="Ship State" attribute="1" defaultMemberUniqueName="[Range 1].[Ship State].[All]" allUniqueName="[Range 1].[Ship State].[All]" dimensionUniqueName="[Range 1]" displayFolder="" count="2" memberValueDatatype="130" unbalanced="0"/>
    <cacheHierarchy uniqueName="[Range 1].[Gender]" caption="Gender" attribute="1" defaultMemberUniqueName="[Range 1].[Gender].[All]" allUniqueName="[Range 1].[Gender].[All]" dimensionUniqueName="[Range 1]" displayFolder="" count="2" memberValueDatatype="130" unbalanced="0"/>
    <cacheHierarchy uniqueName="[Range 1].[Age]" caption="Age" attribute="1" defaultMemberUniqueName="[Range 1].[Age].[All]" allUniqueName="[Range 1].[Age].[All]" dimensionUniqueName="[Range 1]" displayFolder="" count="2" memberValueDatatype="20" unbalanced="0"/>
    <cacheHierarchy uniqueName="[Range 1].[Age group]" caption="Age group" attribute="1" defaultMemberUniqueName="[Range 1].[Age group].[All]" allUniqueName="[Range 1].[Age group].[All]" dimensionUniqueName="[Range 1]" displayFolder="" count="2" memberValueDatatype="130" unbalanced="0"/>
    <cacheHierarchy uniqueName="[Range 1].[order status]" caption="order status" attribute="1" defaultMemberUniqueName="[Range 1].[order status].[All]" allUniqueName="[Range 1].[order status].[All]" dimensionUniqueName="[Range 1]" displayFolder="" count="2"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Order ID]" caption="Sum of Order ID" measure="1" displayFolder="" measureGroup="Range" count="0" hidden="1">
      <extLst>
        <ext xmlns:x15="http://schemas.microsoft.com/office/spreadsheetml/2010/11/main" uri="{B97F6D7D-B522-45F9-BDA1-12C45D357490}">
          <x15:cacheHierarchy aggregatedColumn="0"/>
        </ext>
      </extLst>
    </cacheHierarchy>
    <cacheHierarchy uniqueName="[Measures].[Sum of Order ID 2]" caption="Sum of Order ID 2" measure="1" displayFolder="" measureGroup="Range 1" count="0" hidden="1">
      <extLst>
        <ext xmlns:x15="http://schemas.microsoft.com/office/spreadsheetml/2010/11/main" uri="{B97F6D7D-B522-45F9-BDA1-12C45D357490}">
          <x15:cacheHierarchy aggregatedColumn="14"/>
        </ext>
      </extLst>
    </cacheHierarchy>
    <cacheHierarchy uniqueName="[Measures].[Sum of amount 2]" caption="Sum of amount 2" measure="1" displayFolder="" measureGroup="Range 1" count="0" hidden="1">
      <extLst>
        <ext xmlns:x15="http://schemas.microsoft.com/office/spreadsheetml/2010/11/main" uri="{B97F6D7D-B522-45F9-BDA1-12C45D357490}">
          <x15:cacheHierarchy aggregatedColumn="20"/>
        </ext>
      </extLst>
    </cacheHierarchy>
    <cacheHierarchy uniqueName="[Measures].[Count of Gender]" caption="Count of Gender" measure="1" displayFolder="" measureGroup="Range 1" count="0" hidden="1">
      <extLst>
        <ext xmlns:x15="http://schemas.microsoft.com/office/spreadsheetml/2010/11/main" uri="{B97F6D7D-B522-45F9-BDA1-12C45D357490}">
          <x15:cacheHierarchy aggregatedColumn="25"/>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7.549696412039" backgroundQuery="1" createdVersion="8" refreshedVersion="8" minRefreshableVersion="3" recordCount="0" supportSubquery="1" supportAdvancedDrill="1" xr:uid="{2DA484FF-6332-45B0-B03C-29F1AA1E8475}">
  <cacheSource type="external" connectionId="1"/>
  <cacheFields count="6">
    <cacheField name="[Range 1].[Age group].[Age group]" caption="Age group" numFmtId="0" hierarchy="27" level="1">
      <sharedItems count="3">
        <s v="Adult"/>
        <s v="Senior"/>
        <s v="Teenager"/>
      </sharedItems>
    </cacheField>
    <cacheField name="[Range 1].[Gender].[Gender]" caption="Gender" numFmtId="0" hierarchy="25" level="1">
      <sharedItems count="2">
        <s v="Female"/>
        <s v="Male"/>
      </sharedItems>
    </cacheField>
    <cacheField name="[Measures].[Sum of Order ID 2]" caption="Sum of Order ID 2" numFmtId="0" hierarchy="34" level="32767"/>
    <cacheField name="[Range].[Month].[Month]" caption="Month" numFmtId="0" hierarchy="2" level="1">
      <sharedItems containsSemiMixedTypes="0" containsNonDate="0" containsString="0"/>
    </cacheField>
    <cacheField name="[Range].[Category].[Category]" caption="Category" numFmtId="0" hierarchy="4" level="1">
      <sharedItems containsSemiMixedTypes="0" containsNonDate="0" containsString="0"/>
    </cacheField>
    <cacheField name="[Range].[Sales].[Sales]" caption="Sales" numFmtId="0" hierarchy="7" level="1">
      <sharedItems containsSemiMixedTypes="0" containsNonDate="0" containsString="0"/>
    </cacheField>
  </cacheFields>
  <cacheHierarchies count="37">
    <cacheHierarchy uniqueName="[Range].[Order ID]" caption="Order ID" attribute="1" defaultMemberUniqueName="[Range].[Order ID].[All]" allUniqueName="[Range].[Order ID].[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2" memberValueDatatype="130" unbalanced="0">
      <fieldsUsage count="2">
        <fieldUsage x="-1"/>
        <fieldUsage x="3"/>
      </fieldsUsage>
    </cacheHierarchy>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4"/>
      </fieldsUsage>
    </cacheHierarchy>
    <cacheHierarchy uniqueName="[Range].[Quantity]" caption="Quantity" attribute="1" defaultMemberUniqueName="[Range].[Quantity].[All]" allUniqueName="[Range].[Quantity].[All]" dimensionUniqueName="[Range]" displayFolder="" count="2" memberValueDatatype="20" unbalanced="0"/>
    <cacheHierarchy uniqueName="[Range].[amount]" caption="amount" attribute="1" defaultMemberUniqueName="[Range].[amount].[All]" allUniqueName="[Range].[amount].[All]" dimensionUniqueName="[Range]" displayFolder="" count="0" memberValueDatatype="20" unbalanced="0"/>
    <cacheHierarchy uniqueName="[Range].[Sales]" caption="Sales" attribute="1" defaultMemberUniqueName="[Range].[Sales].[All]" allUniqueName="[Range].[Sales].[All]" dimensionUniqueName="[Range]" displayFolder="" count="2" memberValueDatatype="20" unbalanced="0">
      <fieldsUsage count="2">
        <fieldUsage x="-1"/>
        <fieldUsage x="5"/>
      </fieldsUsage>
    </cacheHierarchy>
    <cacheHierarchy uniqueName="[Range].[Profit]" caption="Profit" attribute="1" defaultMemberUniqueName="[Range].[Profit].[All]" allUniqueName="[Range].[Profit].[All]" dimensionUniqueName="[Range]" displayFolder="" count="2" memberValueDatatype="20" unbalanced="0"/>
    <cacheHierarchy uniqueName="[Range].[Region]" caption="Region" attribute="1" defaultMemberUniqueName="[Range].[Region].[All]" allUniqueName="[Range].[Region].[All]" dimensionUniqueName="[Range]" displayFolder="" count="0" memberValueDatatype="130" unbalanced="0"/>
    <cacheHierarchy uniqueName="[Range].[Ship State]" caption="Ship State" attribute="1" defaultMemberUniqueName="[Range].[Ship State].[All]" allUniqueName="[Range].[Ship Stat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group]" caption="Age group" attribute="1" defaultMemberUniqueName="[Range].[Age group].[All]" allUniqueName="[Range].[Age group].[All]" dimensionUniqueName="[Range]" displayFolder="" count="0" memberValueDatatype="130" unbalanced="0"/>
    <cacheHierarchy uniqueName="[Range 1].[Order ID]" caption="Order ID" attribute="1" defaultMemberUniqueName="[Range 1].[Order ID].[All]" allUniqueName="[Range 1].[Order ID].[All]" dimensionUniqueName="[Range 1]" displayFolder="" count="0" memberValueDatatype="20" unbalanced="0"/>
    <cacheHierarchy uniqueName="[Range 1].[Date]" caption="Date" attribute="1" time="1" defaultMemberUniqueName="[Range 1].[Date].[All]" allUniqueName="[Range 1].[Date].[All]" dimensionUniqueName="[Range 1]" displayFolder="" count="0" memberValueDatatype="7" unbalanced="0"/>
    <cacheHierarchy uniqueName="[Range 1].[Month]" caption="Month" attribute="1" defaultMemberUniqueName="[Range 1].[Month].[All]" allUniqueName="[Range 1].[Month].[All]" dimensionUniqueName="[Range 1]" displayFolder="" count="0" memberValueDatatype="130" unbalanced="0"/>
    <cacheHierarchy uniqueName="[Range 1].[Product]" caption="Product" attribute="1" defaultMemberUniqueName="[Range 1].[Product].[All]" allUniqueName="[Range 1].[Product].[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amount]" caption="amount" attribute="1" defaultMemberUniqueName="[Range 1].[amount].[All]" allUniqueName="[Range 1].[amount].[All]" dimensionUniqueName="[Range 1]" displayFolder="" count="0" memberValueDatatype="20" unbalanced="0"/>
    <cacheHierarchy uniqueName="[Range 1].[Sales]" caption="Sales" attribute="1" defaultMemberUniqueName="[Range 1].[Sales].[All]" allUniqueName="[Range 1].[Sales].[All]" dimensionUniqueName="[Range 1]" displayFolder="" count="0" memberValueDatatype="20" unbalanced="0"/>
    <cacheHierarchy uniqueName="[Range 1].[Profit]" caption="Profit" attribute="1" defaultMemberUniqueName="[Range 1].[Profit].[All]" allUniqueName="[Range 1].[Profit].[All]" dimensionUniqueName="[Range 1]" displayFolder="" count="0" memberValueDatatype="20" unbalanced="0"/>
    <cacheHierarchy uniqueName="[Range 1].[Region]" caption="Region" attribute="1" defaultMemberUniqueName="[Range 1].[Region].[All]" allUniqueName="[Range 1].[Region].[All]" dimensionUniqueName="[Range 1]" displayFolder="" count="0" memberValueDatatype="130" unbalanced="0"/>
    <cacheHierarchy uniqueName="[Range 1].[Ship State]" caption="Ship State" attribute="1" defaultMemberUniqueName="[Range 1].[Ship State].[All]" allUniqueName="[Range 1].[Ship State].[All]" dimensionUniqueName="[Range 1]" displayFolder="" count="0" memberValueDatatype="130" unbalanced="0"/>
    <cacheHierarchy uniqueName="[Range 1].[Gender]" caption="Gender" attribute="1" defaultMemberUniqueName="[Range 1].[Gender].[All]" allUniqueName="[Range 1].[Gender].[All]" dimensionUniqueName="[Range 1]" displayFolder="" count="2" memberValueDatatype="130" unbalanced="0">
      <fieldsUsage count="2">
        <fieldUsage x="-1"/>
        <fieldUsage x="1"/>
      </fieldsUsage>
    </cacheHierarchy>
    <cacheHierarchy uniqueName="[Range 1].[Age]" caption="Age" attribute="1" defaultMemberUniqueName="[Range 1].[Age].[All]" allUniqueName="[Range 1].[Age].[All]" dimensionUniqueName="[Range 1]" displayFolder="" count="0" memberValueDatatype="20" unbalanced="0"/>
    <cacheHierarchy uniqueName="[Range 1].[Age group]" caption="Age group" attribute="1" defaultMemberUniqueName="[Range 1].[Age group].[All]" allUniqueName="[Range 1].[Age group].[All]" dimensionUniqueName="[Range 1]" displayFolder="" count="2" memberValueDatatype="130" unbalanced="0">
      <fieldsUsage count="2">
        <fieldUsage x="-1"/>
        <fieldUsage x="0"/>
      </fieldsUsage>
    </cacheHierarchy>
    <cacheHierarchy uniqueName="[Range 1].[order status]" caption="order status" attribute="1" defaultMemberUniqueName="[Range 1].[order status].[All]" allUniqueName="[Range 1].[order status].[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6"/>
        </ext>
      </extLst>
    </cacheHierarchy>
    <cacheHierarchy uniqueName="[Measures].[Sum of Order ID]" caption="Sum of Order ID" measure="1" displayFolder="" measureGroup="Range" count="0" hidden="1">
      <extLst>
        <ext xmlns:x15="http://schemas.microsoft.com/office/spreadsheetml/2010/11/main" uri="{B97F6D7D-B522-45F9-BDA1-12C45D357490}">
          <x15:cacheHierarchy aggregatedColumn="0"/>
        </ext>
      </extLst>
    </cacheHierarchy>
    <cacheHierarchy uniqueName="[Measures].[Sum of Order ID 2]" caption="Sum of Order ID 2" measure="1" displayFolder="" measureGroup="Range 1"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amount 2]" caption="Sum of amount 2" measure="1" displayFolder="" measureGroup="Range 1" count="0" hidden="1">
      <extLst>
        <ext xmlns:x15="http://schemas.microsoft.com/office/spreadsheetml/2010/11/main" uri="{B97F6D7D-B522-45F9-BDA1-12C45D357490}">
          <x15:cacheHierarchy aggregatedColumn="20"/>
        </ext>
      </extLst>
    </cacheHierarchy>
    <cacheHierarchy uniqueName="[Measures].[Count of Gender]" caption="Count of Gender" measure="1" displayFolder="" measureGroup="Range 1" count="0" hidden="1">
      <extLst>
        <ext xmlns:x15="http://schemas.microsoft.com/office/spreadsheetml/2010/11/main" uri="{B97F6D7D-B522-45F9-BDA1-12C45D357490}">
          <x15:cacheHierarchy aggregatedColumn="25"/>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7.549696759263" backgroundQuery="1" createdVersion="8" refreshedVersion="8" minRefreshableVersion="3" recordCount="0" supportSubquery="1" supportAdvancedDrill="1" xr:uid="{1AD6FB5C-74E8-42A1-9BB0-0083ADA8ED2B}">
  <cacheSource type="external" connectionId="1"/>
  <cacheFields count="5">
    <cacheField name="[Measures].[Sum of amount]" caption="Sum of amount" numFmtId="0" hierarchy="32" level="32767"/>
    <cacheField name="[Measures].[Sum of Order ID]" caption="Sum of Order ID" numFmtId="0" hierarchy="33" level="32767"/>
    <cacheField name="[Range].[Month].[Month]" caption="Month" numFmtId="0" hierarchy="2" level="1">
      <sharedItems count="1">
        <s v="Feb"/>
      </sharedItems>
    </cacheField>
    <cacheField name="[Range].[Category].[Category]" caption="Category" numFmtId="0" hierarchy="4" level="1">
      <sharedItems containsSemiMixedTypes="0" containsNonDate="0" containsString="0"/>
    </cacheField>
    <cacheField name="[Range].[Sales].[Sales]" caption="Sales" numFmtId="0" hierarchy="7" level="1">
      <sharedItems containsSemiMixedTypes="0" containsNonDate="0" containsString="0"/>
    </cacheField>
  </cacheFields>
  <cacheHierarchies count="37">
    <cacheHierarchy uniqueName="[Range].[Order ID]" caption="Order ID" attribute="1" defaultMemberUniqueName="[Range].[Order ID].[All]" allUniqueName="[Range].[Order ID].[All]" dimensionUniqueName="[Range]" displayFolder="" count="2" memberValueDatatype="20" unbalanced="0"/>
    <cacheHierarchy uniqueName="[Range].[Date]" caption="Date" attribute="1" time="1" defaultMemberUniqueName="[Range].[Date].[All]" allUniqueName="[Range].[Date].[All]" dimensionUniqueName="[Range]" displayFolder="" count="2" memberValueDatatype="7" unbalanced="0"/>
    <cacheHierarchy uniqueName="[Range].[Month]" caption="Month" attribute="1" defaultMemberUniqueName="[Range].[Month].[All]" allUniqueName="[Range].[Month].[All]" dimensionUniqueName="[Range]" displayFolder="" count="2" memberValueDatatype="130" unbalanced="0">
      <fieldsUsage count="2">
        <fieldUsage x="-1"/>
        <fieldUsage x="2"/>
      </fieldsUsage>
    </cacheHierarchy>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3"/>
      </fieldsUsage>
    </cacheHierarchy>
    <cacheHierarchy uniqueName="[Range].[Quantity]" caption="Quantity" attribute="1" defaultMemberUniqueName="[Range].[Quantity].[All]" allUniqueName="[Range].[Quantity].[All]" dimensionUniqueName="[Range]" displayFolder="" count="2" memberValueDatatype="20" unbalanced="0"/>
    <cacheHierarchy uniqueName="[Range].[amount]" caption="amount" attribute="1" defaultMemberUniqueName="[Range].[amount].[All]" allUniqueName="[Range].[amount].[All]" dimensionUniqueName="[Range]" displayFolder="" count="2" memberValueDatatype="20" unbalanced="0"/>
    <cacheHierarchy uniqueName="[Range].[Sales]" caption="Sales" attribute="1" defaultMemberUniqueName="[Range].[Sales].[All]" allUniqueName="[Range].[Sales].[All]" dimensionUniqueName="[Range]" displayFolder="" count="2" memberValueDatatype="20" unbalanced="0">
      <fieldsUsage count="2">
        <fieldUsage x="-1"/>
        <fieldUsage x="4"/>
      </fieldsUsage>
    </cacheHierarchy>
    <cacheHierarchy uniqueName="[Range].[Profit]" caption="Profit" attribute="1" defaultMemberUniqueName="[Range].[Profit].[All]" allUniqueName="[Range].[Profit].[All]" dimensionUniqueName="[Range]" displayFolder="" count="2" memberValueDatatype="20" unbalanced="0"/>
    <cacheHierarchy uniqueName="[Range].[Region]" caption="Region" attribute="1" defaultMemberUniqueName="[Range].[Region].[All]" allUniqueName="[Range].[Region].[All]" dimensionUniqueName="[Range]" displayFolder="" count="2" memberValueDatatype="130" unbalanced="0"/>
    <cacheHierarchy uniqueName="[Range].[Ship State]" caption="Ship State" attribute="1" defaultMemberUniqueName="[Range].[Ship State].[All]" allUniqueName="[Range].[Ship State].[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Age group]" caption="Age group" attribute="1" defaultMemberUniqueName="[Range].[Age group].[All]" allUniqueName="[Range].[Age group].[All]" dimensionUniqueName="[Range]" displayFolder="" count="2" memberValueDatatype="130" unbalanced="0"/>
    <cacheHierarchy uniqueName="[Range 1].[Order ID]" caption="Order ID" attribute="1" defaultMemberUniqueName="[Range 1].[Order ID].[All]" allUniqueName="[Range 1].[Order ID].[All]" dimensionUniqueName="[Range 1]" displayFolder="" count="2" memberValueDatatype="20" unbalanced="0"/>
    <cacheHierarchy uniqueName="[Range 1].[Date]" caption="Date" attribute="1" time="1" defaultMemberUniqueName="[Range 1].[Date].[All]" allUniqueName="[Range 1].[Date].[All]" dimensionUniqueName="[Range 1]" displayFolder="" count="2" memberValueDatatype="7" unbalanced="0"/>
    <cacheHierarchy uniqueName="[Range 1].[Month]" caption="Month" attribute="1" defaultMemberUniqueName="[Range 1].[Month].[All]" allUniqueName="[Range 1].[Month].[All]" dimensionUniqueName="[Range 1]" displayFolder="" count="2" memberValueDatatype="130" unbalanced="0"/>
    <cacheHierarchy uniqueName="[Range 1].[Product]" caption="Product" attribute="1" defaultMemberUniqueName="[Range 1].[Product].[All]" allUniqueName="[Range 1].[Product].[All]" dimensionUniqueName="[Range 1]" displayFolder="" count="2" memberValueDatatype="130" unbalanced="0"/>
    <cacheHierarchy uniqueName="[Range 1].[Category]" caption="Category" attribute="1" defaultMemberUniqueName="[Range 1].[Category].[All]" allUniqueName="[Range 1].[Category].[All]" dimensionUniqueName="[Range 1]" displayFolder="" count="2" memberValueDatatype="130" unbalanced="0"/>
    <cacheHierarchy uniqueName="[Range 1].[Quantity]" caption="Quantity" attribute="1" defaultMemberUniqueName="[Range 1].[Quantity].[All]" allUniqueName="[Range 1].[Quantity].[All]" dimensionUniqueName="[Range 1]" displayFolder="" count="2" memberValueDatatype="20" unbalanced="0"/>
    <cacheHierarchy uniqueName="[Range 1].[amount]" caption="amount" attribute="1" defaultMemberUniqueName="[Range 1].[amount].[All]" allUniqueName="[Range 1].[amount].[All]" dimensionUniqueName="[Range 1]" displayFolder="" count="2" memberValueDatatype="20" unbalanced="0"/>
    <cacheHierarchy uniqueName="[Range 1].[Sales]" caption="Sales" attribute="1" defaultMemberUniqueName="[Range 1].[Sales].[All]" allUniqueName="[Range 1].[Sales].[All]" dimensionUniqueName="[Range 1]" displayFolder="" count="2" memberValueDatatype="20" unbalanced="0"/>
    <cacheHierarchy uniqueName="[Range 1].[Profit]" caption="Profit" attribute="1" defaultMemberUniqueName="[Range 1].[Profit].[All]" allUniqueName="[Range 1].[Profit].[All]" dimensionUniqueName="[Range 1]" displayFolder="" count="2" memberValueDatatype="20" unbalanced="0"/>
    <cacheHierarchy uniqueName="[Range 1].[Region]" caption="Region" attribute="1" defaultMemberUniqueName="[Range 1].[Region].[All]" allUniqueName="[Range 1].[Region].[All]" dimensionUniqueName="[Range 1]" displayFolder="" count="2" memberValueDatatype="130" unbalanced="0"/>
    <cacheHierarchy uniqueName="[Range 1].[Ship State]" caption="Ship State" attribute="1" defaultMemberUniqueName="[Range 1].[Ship State].[All]" allUniqueName="[Range 1].[Ship State].[All]" dimensionUniqueName="[Range 1]" displayFolder="" count="2" memberValueDatatype="130" unbalanced="0"/>
    <cacheHierarchy uniqueName="[Range 1].[Gender]" caption="Gender" attribute="1" defaultMemberUniqueName="[Range 1].[Gender].[All]" allUniqueName="[Range 1].[Gender].[All]" dimensionUniqueName="[Range 1]" displayFolder="" count="2" memberValueDatatype="130" unbalanced="0"/>
    <cacheHierarchy uniqueName="[Range 1].[Age]" caption="Age" attribute="1" defaultMemberUniqueName="[Range 1].[Age].[All]" allUniqueName="[Range 1].[Age].[All]" dimensionUniqueName="[Range 1]" displayFolder="" count="2" memberValueDatatype="20" unbalanced="0"/>
    <cacheHierarchy uniqueName="[Range 1].[Age group]" caption="Age group" attribute="1" defaultMemberUniqueName="[Range 1].[Age group].[All]" allUniqueName="[Range 1].[Age group].[All]" dimensionUniqueName="[Range 1]" displayFolder="" count="2" memberValueDatatype="130" unbalanced="0"/>
    <cacheHierarchy uniqueName="[Range 1].[order status]" caption="order status" attribute="1" defaultMemberUniqueName="[Range 1].[order status].[All]" allUniqueName="[Range 1].[order status].[All]" dimensionUniqueName="[Range 1]" displayFolder="" count="2"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Order ID]" caption="Sum of Order 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Order ID 2]" caption="Sum of Order ID 2" measure="1" displayFolder="" measureGroup="Range 1" count="0" hidden="1">
      <extLst>
        <ext xmlns:x15="http://schemas.microsoft.com/office/spreadsheetml/2010/11/main" uri="{B97F6D7D-B522-45F9-BDA1-12C45D357490}">
          <x15:cacheHierarchy aggregatedColumn="14"/>
        </ext>
      </extLst>
    </cacheHierarchy>
    <cacheHierarchy uniqueName="[Measures].[Sum of amount 2]" caption="Sum of amount 2" measure="1" displayFolder="" measureGroup="Range 1" count="0" hidden="1">
      <extLst>
        <ext xmlns:x15="http://schemas.microsoft.com/office/spreadsheetml/2010/11/main" uri="{B97F6D7D-B522-45F9-BDA1-12C45D357490}">
          <x15:cacheHierarchy aggregatedColumn="20"/>
        </ext>
      </extLst>
    </cacheHierarchy>
    <cacheHierarchy uniqueName="[Measures].[Count of Gender]" caption="Count of Gender" measure="1" displayFolder="" measureGroup="Range 1" count="0" hidden="1">
      <extLst>
        <ext xmlns:x15="http://schemas.microsoft.com/office/spreadsheetml/2010/11/main" uri="{B97F6D7D-B522-45F9-BDA1-12C45D357490}">
          <x15:cacheHierarchy aggregatedColumn="25"/>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7.549697106479" backgroundQuery="1" createdVersion="8" refreshedVersion="8" minRefreshableVersion="3" recordCount="0" supportSubquery="1" supportAdvancedDrill="1" xr:uid="{491F5BDB-D2B1-46D3-BA71-0F4DCF0E5829}">
  <cacheSource type="external" connectionId="1"/>
  <cacheFields count="5">
    <cacheField name="[Range 1].[Ship State].[Ship State]" caption="Ship State" numFmtId="0" hierarchy="24" level="1">
      <sharedItems count="5">
        <s v="Arunachal Pradesh"/>
        <s v="Haryana"/>
        <s v="Maharashtra"/>
        <s v="Odisha"/>
        <s v="West Bengal"/>
      </sharedItems>
    </cacheField>
    <cacheField name="[Measures].[Sum of amount 2]" caption="Sum of amount 2" numFmtId="0" hierarchy="35" level="32767"/>
    <cacheField name="[Range].[Month].[Month]" caption="Month" numFmtId="0" hierarchy="2" level="1">
      <sharedItems containsSemiMixedTypes="0" containsNonDate="0" containsString="0"/>
    </cacheField>
    <cacheField name="[Range].[Category].[Category]" caption="Category" numFmtId="0" hierarchy="4" level="1">
      <sharedItems containsSemiMixedTypes="0" containsNonDate="0" containsString="0"/>
    </cacheField>
    <cacheField name="[Range].[Sales].[Sales]" caption="Sales" numFmtId="0" hierarchy="7" level="1">
      <sharedItems containsSemiMixedTypes="0" containsNonDate="0" containsString="0"/>
    </cacheField>
  </cacheFields>
  <cacheHierarchies count="37">
    <cacheHierarchy uniqueName="[Range].[Order ID]" caption="Order ID" attribute="1" defaultMemberUniqueName="[Range].[Order ID].[All]" allUniqueName="[Range].[Order ID].[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2" memberValueDatatype="130" unbalanced="0">
      <fieldsUsage count="2">
        <fieldUsage x="-1"/>
        <fieldUsage x="2"/>
      </fieldsUsage>
    </cacheHierarchy>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3"/>
      </fieldsUsage>
    </cacheHierarchy>
    <cacheHierarchy uniqueName="[Range].[Quantity]" caption="Quantity" attribute="1" defaultMemberUniqueName="[Range].[Quantity].[All]" allUniqueName="[Range].[Quantity].[All]" dimensionUniqueName="[Range]" displayFolder="" count="2" memberValueDatatype="20" unbalanced="0"/>
    <cacheHierarchy uniqueName="[Range].[amount]" caption="amount" attribute="1" defaultMemberUniqueName="[Range].[amount].[All]" allUniqueName="[Range].[amount].[All]" dimensionUniqueName="[Range]" displayFolder="" count="0" memberValueDatatype="20" unbalanced="0"/>
    <cacheHierarchy uniqueName="[Range].[Sales]" caption="Sales" attribute="1" defaultMemberUniqueName="[Range].[Sales].[All]" allUniqueName="[Range].[Sales].[All]" dimensionUniqueName="[Range]" displayFolder="" count="2" memberValueDatatype="20" unbalanced="0">
      <fieldsUsage count="2">
        <fieldUsage x="-1"/>
        <fieldUsage x="4"/>
      </fieldsUsage>
    </cacheHierarchy>
    <cacheHierarchy uniqueName="[Range].[Profit]" caption="Profit" attribute="1" defaultMemberUniqueName="[Range].[Profit].[All]" allUniqueName="[Range].[Profit].[All]" dimensionUniqueName="[Range]" displayFolder="" count="2" memberValueDatatype="20" unbalanced="0"/>
    <cacheHierarchy uniqueName="[Range].[Region]" caption="Region" attribute="1" defaultMemberUniqueName="[Range].[Region].[All]" allUniqueName="[Range].[Region].[All]" dimensionUniqueName="[Range]" displayFolder="" count="0" memberValueDatatype="130" unbalanced="0"/>
    <cacheHierarchy uniqueName="[Range].[Ship State]" caption="Ship State" attribute="1" defaultMemberUniqueName="[Range].[Ship State].[All]" allUniqueName="[Range].[Ship Stat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group]" caption="Age group" attribute="1" defaultMemberUniqueName="[Range].[Age group].[All]" allUniqueName="[Range].[Age group].[All]" dimensionUniqueName="[Range]" displayFolder="" count="0" memberValueDatatype="130" unbalanced="0"/>
    <cacheHierarchy uniqueName="[Range 1].[Order ID]" caption="Order ID" attribute="1" defaultMemberUniqueName="[Range 1].[Order ID].[All]" allUniqueName="[Range 1].[Order ID].[All]" dimensionUniqueName="[Range 1]" displayFolder="" count="0" memberValueDatatype="20" unbalanced="0"/>
    <cacheHierarchy uniqueName="[Range 1].[Date]" caption="Date" attribute="1" time="1" defaultMemberUniqueName="[Range 1].[Date].[All]" allUniqueName="[Range 1].[Date].[All]" dimensionUniqueName="[Range 1]" displayFolder="" count="0" memberValueDatatype="7" unbalanced="0"/>
    <cacheHierarchy uniqueName="[Range 1].[Month]" caption="Month" attribute="1" defaultMemberUniqueName="[Range 1].[Month].[All]" allUniqueName="[Range 1].[Month].[All]" dimensionUniqueName="[Range 1]" displayFolder="" count="0" memberValueDatatype="130" unbalanced="0"/>
    <cacheHierarchy uniqueName="[Range 1].[Product]" caption="Product" attribute="1" defaultMemberUniqueName="[Range 1].[Product].[All]" allUniqueName="[Range 1].[Product].[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amount]" caption="amount" attribute="1" defaultMemberUniqueName="[Range 1].[amount].[All]" allUniqueName="[Range 1].[amount].[All]" dimensionUniqueName="[Range 1]" displayFolder="" count="0" memberValueDatatype="20" unbalanced="0"/>
    <cacheHierarchy uniqueName="[Range 1].[Sales]" caption="Sales" attribute="1" defaultMemberUniqueName="[Range 1].[Sales].[All]" allUniqueName="[Range 1].[Sales].[All]" dimensionUniqueName="[Range 1]" displayFolder="" count="0" memberValueDatatype="20" unbalanced="0"/>
    <cacheHierarchy uniqueName="[Range 1].[Profit]" caption="Profit" attribute="1" defaultMemberUniqueName="[Range 1].[Profit].[All]" allUniqueName="[Range 1].[Profit].[All]" dimensionUniqueName="[Range 1]" displayFolder="" count="0" memberValueDatatype="20" unbalanced="0"/>
    <cacheHierarchy uniqueName="[Range 1].[Region]" caption="Region" attribute="1" defaultMemberUniqueName="[Range 1].[Region].[All]" allUniqueName="[Range 1].[Region].[All]" dimensionUniqueName="[Range 1]" displayFolder="" count="0" memberValueDatatype="130" unbalanced="0"/>
    <cacheHierarchy uniqueName="[Range 1].[Ship State]" caption="Ship State" attribute="1" defaultMemberUniqueName="[Range 1].[Ship State].[All]" allUniqueName="[Range 1].[Ship State].[All]" dimensionUniqueName="[Range 1]" displayFolder="" count="2" memberValueDatatype="130" unbalanced="0">
      <fieldsUsage count="2">
        <fieldUsage x="-1"/>
        <fieldUsage x="0"/>
      </fieldsUsage>
    </cacheHierarchy>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Age group]" caption="Age group" attribute="1" defaultMemberUniqueName="[Range 1].[Age group].[All]" allUniqueName="[Range 1].[Age group].[All]" dimensionUniqueName="[Range 1]" displayFolder="" count="0" memberValueDatatype="130" unbalanced="0"/>
    <cacheHierarchy uniqueName="[Range 1].[order status]" caption="order status" attribute="1" defaultMemberUniqueName="[Range 1].[order status].[All]" allUniqueName="[Range 1].[order status].[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6"/>
        </ext>
      </extLst>
    </cacheHierarchy>
    <cacheHierarchy uniqueName="[Measures].[Sum of Order ID]" caption="Sum of Order ID" measure="1" displayFolder="" measureGroup="Range" count="0" hidden="1">
      <extLst>
        <ext xmlns:x15="http://schemas.microsoft.com/office/spreadsheetml/2010/11/main" uri="{B97F6D7D-B522-45F9-BDA1-12C45D357490}">
          <x15:cacheHierarchy aggregatedColumn="0"/>
        </ext>
      </extLst>
    </cacheHierarchy>
    <cacheHierarchy uniqueName="[Measures].[Sum of Order ID 2]" caption="Sum of Order ID 2" measure="1" displayFolder="" measureGroup="Range 1" count="0" hidden="1">
      <extLst>
        <ext xmlns:x15="http://schemas.microsoft.com/office/spreadsheetml/2010/11/main" uri="{B97F6D7D-B522-45F9-BDA1-12C45D357490}">
          <x15:cacheHierarchy aggregatedColumn="14"/>
        </ext>
      </extLst>
    </cacheHierarchy>
    <cacheHierarchy uniqueName="[Measures].[Sum of amount 2]" caption="Sum of amount 2" measure="1" displayFolder="" measureGroup="Range 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Gender]" caption="Count of Gender" measure="1" displayFolder="" measureGroup="Range 1" count="0" hidden="1">
      <extLst>
        <ext xmlns:x15="http://schemas.microsoft.com/office/spreadsheetml/2010/11/main" uri="{B97F6D7D-B522-45F9-BDA1-12C45D357490}">
          <x15:cacheHierarchy aggregatedColumn="25"/>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7.549697569448" backgroundQuery="1" createdVersion="8" refreshedVersion="8" minRefreshableVersion="3" recordCount="0" supportSubquery="1" supportAdvancedDrill="1" xr:uid="{30CE3009-A6A6-4375-9DEE-B744D7979E4E}">
  <cacheSource type="external" connectionId="1"/>
  <cacheFields count="5">
    <cacheField name="[Range 1].[order status].[order status]" caption="order status" numFmtId="0" hierarchy="28" level="1">
      <sharedItems count="3">
        <s v="Cancelled"/>
        <s v="Deliverd"/>
        <s v="Pending"/>
      </sharedItems>
    </cacheField>
    <cacheField name="[Measures].[Sum of Order ID 2]" caption="Sum of Order ID 2" numFmtId="0" hierarchy="34" level="32767"/>
    <cacheField name="[Range].[Month].[Month]" caption="Month" numFmtId="0" hierarchy="2" level="1">
      <sharedItems containsSemiMixedTypes="0" containsNonDate="0" containsString="0"/>
    </cacheField>
    <cacheField name="[Range].[Category].[Category]" caption="Category" numFmtId="0" hierarchy="4" level="1">
      <sharedItems containsSemiMixedTypes="0" containsNonDate="0" containsString="0"/>
    </cacheField>
    <cacheField name="[Range].[Sales].[Sales]" caption="Sales" numFmtId="0" hierarchy="7" level="1">
      <sharedItems containsSemiMixedTypes="0" containsNonDate="0" containsString="0"/>
    </cacheField>
  </cacheFields>
  <cacheHierarchies count="37">
    <cacheHierarchy uniqueName="[Range].[Order ID]" caption="Order ID" attribute="1" defaultMemberUniqueName="[Range].[Order ID].[All]" allUniqueName="[Range].[Order ID].[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2" memberValueDatatype="130" unbalanced="0">
      <fieldsUsage count="2">
        <fieldUsage x="-1"/>
        <fieldUsage x="2"/>
      </fieldsUsage>
    </cacheHierarchy>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3"/>
      </fieldsUsage>
    </cacheHierarchy>
    <cacheHierarchy uniqueName="[Range].[Quantity]" caption="Quantity" attribute="1" defaultMemberUniqueName="[Range].[Quantity].[All]" allUniqueName="[Range].[Quantity].[All]" dimensionUniqueName="[Range]" displayFolder="" count="2" memberValueDatatype="20" unbalanced="0"/>
    <cacheHierarchy uniqueName="[Range].[amount]" caption="amount" attribute="1" defaultMemberUniqueName="[Range].[amount].[All]" allUniqueName="[Range].[amount].[All]" dimensionUniqueName="[Range]" displayFolder="" count="0" memberValueDatatype="20" unbalanced="0"/>
    <cacheHierarchy uniqueName="[Range].[Sales]" caption="Sales" attribute="1" defaultMemberUniqueName="[Range].[Sales].[All]" allUniqueName="[Range].[Sales].[All]" dimensionUniqueName="[Range]" displayFolder="" count="2" memberValueDatatype="20" unbalanced="0">
      <fieldsUsage count="2">
        <fieldUsage x="-1"/>
        <fieldUsage x="4"/>
      </fieldsUsage>
    </cacheHierarchy>
    <cacheHierarchy uniqueName="[Range].[Profit]" caption="Profit" attribute="1" defaultMemberUniqueName="[Range].[Profit].[All]" allUniqueName="[Range].[Profit].[All]" dimensionUniqueName="[Range]" displayFolder="" count="2" memberValueDatatype="20" unbalanced="0"/>
    <cacheHierarchy uniqueName="[Range].[Region]" caption="Region" attribute="1" defaultMemberUniqueName="[Range].[Region].[All]" allUniqueName="[Range].[Region].[All]" dimensionUniqueName="[Range]" displayFolder="" count="0" memberValueDatatype="130" unbalanced="0"/>
    <cacheHierarchy uniqueName="[Range].[Ship State]" caption="Ship State" attribute="1" defaultMemberUniqueName="[Range].[Ship State].[All]" allUniqueName="[Range].[Ship Stat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group]" caption="Age group" attribute="1" defaultMemberUniqueName="[Range].[Age group].[All]" allUniqueName="[Range].[Age group].[All]" dimensionUniqueName="[Range]" displayFolder="" count="0" memberValueDatatype="130" unbalanced="0"/>
    <cacheHierarchy uniqueName="[Range 1].[Order ID]" caption="Order ID" attribute="1" defaultMemberUniqueName="[Range 1].[Order ID].[All]" allUniqueName="[Range 1].[Order ID].[All]" dimensionUniqueName="[Range 1]" displayFolder="" count="0" memberValueDatatype="20" unbalanced="0"/>
    <cacheHierarchy uniqueName="[Range 1].[Date]" caption="Date" attribute="1" time="1" defaultMemberUniqueName="[Range 1].[Date].[All]" allUniqueName="[Range 1].[Date].[All]" dimensionUniqueName="[Range 1]" displayFolder="" count="0" memberValueDatatype="7" unbalanced="0"/>
    <cacheHierarchy uniqueName="[Range 1].[Month]" caption="Month" attribute="1" defaultMemberUniqueName="[Range 1].[Month].[All]" allUniqueName="[Range 1].[Month].[All]" dimensionUniqueName="[Range 1]" displayFolder="" count="0" memberValueDatatype="130" unbalanced="0"/>
    <cacheHierarchy uniqueName="[Range 1].[Product]" caption="Product" attribute="1" defaultMemberUniqueName="[Range 1].[Product].[All]" allUniqueName="[Range 1].[Product].[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amount]" caption="amount" attribute="1" defaultMemberUniqueName="[Range 1].[amount].[All]" allUniqueName="[Range 1].[amount].[All]" dimensionUniqueName="[Range 1]" displayFolder="" count="0" memberValueDatatype="20" unbalanced="0"/>
    <cacheHierarchy uniqueName="[Range 1].[Sales]" caption="Sales" attribute="1" defaultMemberUniqueName="[Range 1].[Sales].[All]" allUniqueName="[Range 1].[Sales].[All]" dimensionUniqueName="[Range 1]" displayFolder="" count="0" memberValueDatatype="20" unbalanced="0"/>
    <cacheHierarchy uniqueName="[Range 1].[Profit]" caption="Profit" attribute="1" defaultMemberUniqueName="[Range 1].[Profit].[All]" allUniqueName="[Range 1].[Profit].[All]" dimensionUniqueName="[Range 1]" displayFolder="" count="0" memberValueDatatype="20" unbalanced="0"/>
    <cacheHierarchy uniqueName="[Range 1].[Region]" caption="Region" attribute="1" defaultMemberUniqueName="[Range 1].[Region].[All]" allUniqueName="[Range 1].[Region].[All]" dimensionUniqueName="[Range 1]" displayFolder="" count="0" memberValueDatatype="130" unbalanced="0"/>
    <cacheHierarchy uniqueName="[Range 1].[Ship State]" caption="Ship State" attribute="1" defaultMemberUniqueName="[Range 1].[Ship State].[All]" allUniqueName="[Range 1].[Ship Stat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Age group]" caption="Age group" attribute="1" defaultMemberUniqueName="[Range 1].[Age group].[All]" allUniqueName="[Range 1].[Age group].[All]" dimensionUniqueName="[Range 1]" displayFolder="" count="0" memberValueDatatype="130" unbalanced="0"/>
    <cacheHierarchy uniqueName="[Range 1].[order status]" caption="order status" attribute="1" defaultMemberUniqueName="[Range 1].[order status].[All]" allUniqueName="[Range 1].[order status].[All]" dimensionUniqueName="[Range 1]"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6"/>
        </ext>
      </extLst>
    </cacheHierarchy>
    <cacheHierarchy uniqueName="[Measures].[Sum of Order ID]" caption="Sum of Order ID" measure="1" displayFolder="" measureGroup="Range" count="0" hidden="1">
      <extLst>
        <ext xmlns:x15="http://schemas.microsoft.com/office/spreadsheetml/2010/11/main" uri="{B97F6D7D-B522-45F9-BDA1-12C45D357490}">
          <x15:cacheHierarchy aggregatedColumn="0"/>
        </ext>
      </extLst>
    </cacheHierarchy>
    <cacheHierarchy uniqueName="[Measures].[Sum of Order ID 2]" caption="Sum of Order ID 2" measure="1" displayFolder="" measureGroup="Range 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amount 2]" caption="Sum of amount 2" measure="1" displayFolder="" measureGroup="Range 1" count="0" hidden="1">
      <extLst>
        <ext xmlns:x15="http://schemas.microsoft.com/office/spreadsheetml/2010/11/main" uri="{B97F6D7D-B522-45F9-BDA1-12C45D357490}">
          <x15:cacheHierarchy aggregatedColumn="20"/>
        </ext>
      </extLst>
    </cacheHierarchy>
    <cacheHierarchy uniqueName="[Measures].[Count of Gender]" caption="Count of Gender" measure="1" displayFolder="" measureGroup="Range 1" count="0" hidden="1">
      <extLst>
        <ext xmlns:x15="http://schemas.microsoft.com/office/spreadsheetml/2010/11/main" uri="{B97F6D7D-B522-45F9-BDA1-12C45D357490}">
          <x15:cacheHierarchy aggregatedColumn="25"/>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1.556123263887" backgroundQuery="1" createdVersion="3" refreshedVersion="8" minRefreshableVersion="3" recordCount="0" supportSubquery="1" supportAdvancedDrill="1" xr:uid="{566DD9FC-8C38-4756-BB6F-BF3316E617EC}">
  <cacheSource type="external" connectionId="1">
    <extLst>
      <ext xmlns:x14="http://schemas.microsoft.com/office/spreadsheetml/2009/9/main" uri="{F057638F-6D5F-4e77-A914-E7F072B9BCA8}">
        <x14:sourceConnection name="ThisWorkbookDataModel"/>
      </ext>
    </extLst>
  </cacheSource>
  <cacheFields count="0"/>
  <cacheHierarchies count="37">
    <cacheHierarchy uniqueName="[Range].[Order ID]" caption="Order ID" attribute="1" defaultMemberUniqueName="[Range].[Order ID].[All]" allUniqueName="[Range].[Order ID].[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Month]" caption="Month" attribute="1" defaultMemberUniqueName="[Range].[Month].[All]" allUniqueName="[Range].[Month].[All]" dimensionUniqueName="[Range]" displayFolder="" count="2" memberValueDatatype="13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amount]" caption="amount" attribute="1" defaultMemberUniqueName="[Range].[amount].[All]" allUniqueName="[Range].[amount].[All]" dimensionUniqueName="[Range]" displayFolder="" count="0" memberValueDatatype="20" unbalanced="0"/>
    <cacheHierarchy uniqueName="[Range].[Sales]" caption="Sales" attribute="1" defaultMemberUniqueName="[Range].[Sales].[All]" allUniqueName="[Range].[Sales].[All]" dimensionUniqueName="[Range]" displayFolder="" count="2" memberValueDatatype="20" unbalanced="0"/>
    <cacheHierarchy uniqueName="[Range].[Profit]" caption="Profit" attribute="1" defaultMemberUniqueName="[Range].[Profit].[All]" allUniqueName="[Range].[Profit].[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Ship State]" caption="Ship State" attribute="1" defaultMemberUniqueName="[Range].[Ship State].[All]" allUniqueName="[Range].[Ship Stat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group]" caption="Age group" attribute="1" defaultMemberUniqueName="[Range].[Age group].[All]" allUniqueName="[Range].[Age group].[All]" dimensionUniqueName="[Range]" displayFolder="" count="0" memberValueDatatype="130" unbalanced="0"/>
    <cacheHierarchy uniqueName="[Range 1].[Order ID]" caption="Order ID" attribute="1" defaultMemberUniqueName="[Range 1].[Order ID].[All]" allUniqueName="[Range 1].[Order ID].[All]" dimensionUniqueName="[Range 1]" displayFolder="" count="0" memberValueDatatype="20" unbalanced="0"/>
    <cacheHierarchy uniqueName="[Range 1].[Date]" caption="Date" attribute="1" time="1" defaultMemberUniqueName="[Range 1].[Date].[All]" allUniqueName="[Range 1].[Date].[All]" dimensionUniqueName="[Range 1]" displayFolder="" count="0" memberValueDatatype="7" unbalanced="0"/>
    <cacheHierarchy uniqueName="[Range 1].[Month]" caption="Month" attribute="1" defaultMemberUniqueName="[Range 1].[Month].[All]" allUniqueName="[Range 1].[Month].[All]" dimensionUniqueName="[Range 1]" displayFolder="" count="0" memberValueDatatype="130" unbalanced="0"/>
    <cacheHierarchy uniqueName="[Range 1].[Product]" caption="Product" attribute="1" defaultMemberUniqueName="[Range 1].[Product].[All]" allUniqueName="[Range 1].[Product].[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Quantity]" caption="Quantity" attribute="1" defaultMemberUniqueName="[Range 1].[Quantity].[All]" allUniqueName="[Range 1].[Quantity].[All]" dimensionUniqueName="[Range 1]" displayFolder="" count="0" memberValueDatatype="20" unbalanced="0"/>
    <cacheHierarchy uniqueName="[Range 1].[amount]" caption="amount" attribute="1" defaultMemberUniqueName="[Range 1].[amount].[All]" allUniqueName="[Range 1].[amount].[All]" dimensionUniqueName="[Range 1]" displayFolder="" count="0" memberValueDatatype="20" unbalanced="0"/>
    <cacheHierarchy uniqueName="[Range 1].[Sales]" caption="Sales" attribute="1" defaultMemberUniqueName="[Range 1].[Sales].[All]" allUniqueName="[Range 1].[Sales].[All]" dimensionUniqueName="[Range 1]" displayFolder="" count="0" memberValueDatatype="20" unbalanced="0"/>
    <cacheHierarchy uniqueName="[Range 1].[Profit]" caption="Profit" attribute="1" defaultMemberUniqueName="[Range 1].[Profit].[All]" allUniqueName="[Range 1].[Profit].[All]" dimensionUniqueName="[Range 1]" displayFolder="" count="0" memberValueDatatype="20" unbalanced="0"/>
    <cacheHierarchy uniqueName="[Range 1].[Region]" caption="Region" attribute="1" defaultMemberUniqueName="[Range 1].[Region].[All]" allUniqueName="[Range 1].[Region].[All]" dimensionUniqueName="[Range 1]" displayFolder="" count="0" memberValueDatatype="130" unbalanced="0"/>
    <cacheHierarchy uniqueName="[Range 1].[Ship State]" caption="Ship State" attribute="1" defaultMemberUniqueName="[Range 1].[Ship State].[All]" allUniqueName="[Range 1].[Ship State].[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Age group]" caption="Age group" attribute="1" defaultMemberUniqueName="[Range 1].[Age group].[All]" allUniqueName="[Range 1].[Age group].[All]" dimensionUniqueName="[Range 1]" displayFolder="" count="0" memberValueDatatype="130" unbalanced="0"/>
    <cacheHierarchy uniqueName="[Range 1].[order status]" caption="order status" attribute="1" defaultMemberUniqueName="[Range 1].[order status].[All]" allUniqueName="[Range 1].[order status].[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6"/>
        </ext>
      </extLst>
    </cacheHierarchy>
    <cacheHierarchy uniqueName="[Measures].[Sum of Order ID]" caption="Sum of Order ID" measure="1" displayFolder="" measureGroup="Range" count="0" hidden="1">
      <extLst>
        <ext xmlns:x15="http://schemas.microsoft.com/office/spreadsheetml/2010/11/main" uri="{B97F6D7D-B522-45F9-BDA1-12C45D357490}">
          <x15:cacheHierarchy aggregatedColumn="0"/>
        </ext>
      </extLst>
    </cacheHierarchy>
    <cacheHierarchy uniqueName="[Measures].[Sum of Order ID 2]" caption="Sum of Order ID 2" measure="1" displayFolder="" measureGroup="Range 1" count="0" hidden="1">
      <extLst>
        <ext xmlns:x15="http://schemas.microsoft.com/office/spreadsheetml/2010/11/main" uri="{B97F6D7D-B522-45F9-BDA1-12C45D357490}">
          <x15:cacheHierarchy aggregatedColumn="14"/>
        </ext>
      </extLst>
    </cacheHierarchy>
    <cacheHierarchy uniqueName="[Measures].[Sum of amount 2]" caption="Sum of amount 2" measure="1" displayFolder="" measureGroup="Range 1" count="0" hidden="1">
      <extLst>
        <ext xmlns:x15="http://schemas.microsoft.com/office/spreadsheetml/2010/11/main" uri="{B97F6D7D-B522-45F9-BDA1-12C45D357490}">
          <x15:cacheHierarchy aggregatedColumn="20"/>
        </ext>
      </extLst>
    </cacheHierarchy>
    <cacheHierarchy uniqueName="[Measures].[Count of Gender]" caption="Count of Gender" measure="1" displayFolder="" measureGroup="Range 1"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slicerData="1" pivotCacheId="98252353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CE40B4-6D37-4104-BEAE-64B9B8BA21D1}" name="PivotTable1" cacheId="1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7">
  <location ref="A3:C4"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1">
    <i>
      <x/>
    </i>
  </rowItems>
  <colFields count="1">
    <field x="-2"/>
  </colFields>
  <colItems count="2">
    <i>
      <x/>
    </i>
    <i i="1">
      <x v="1"/>
    </i>
  </colItems>
  <dataFields count="2">
    <dataField name="Sum of amount" fld="0" baseField="0" baseItem="0"/>
    <dataField name="Sum of Order ID" fld="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s>
  <pivotHierarchies count="37">
    <pivotHierarchy dragToData="1"/>
    <pivotHierarchy dragToData="1"/>
    <pivotHierarchy multipleItemSelectionAllowed="1" dragToData="1"/>
    <pivotHierarchy dragToData="1"/>
    <pivotHierarchy multipleItemSelectionAllowed="1" dragToData="1">
      <members count="1" level="1">
        <member name="[Range].[Category].&amp;[Furniture]"/>
      </members>
    </pivotHierarchy>
    <pivotHierarchy multipleItemSelectionAllowed="1" dragToData="1"/>
    <pivotHierarchy dragToData="1"/>
    <pivotHierarchy multipleItemSelectionAllowed="1" dragToData="1">
      <members count="1" level="1">
        <member name="[Range].[Sales].&amp;[5928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M">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7A3B65-2A44-4BDF-96DF-1AB588EB54B6}" name="PivotTable2"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3:B4" firstHeaderRow="1" firstDataRow="1" firstDataCol="1"/>
  <pivotFields count="5">
    <pivotField axis="axisRow"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
    <i>
      <x/>
    </i>
  </rowItems>
  <colItems count="1">
    <i/>
  </colItems>
  <dataFields count="1">
    <dataField name="Sum of amount" fld="1"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s>
  <pivotHierarchies count="37">
    <pivotHierarchy dragToData="1"/>
    <pivotHierarchy dragToData="1"/>
    <pivotHierarchy multipleItemSelectionAllowed="1" dragToData="1">
      <members count="1" level="1">
        <member name="[Range].[Month].&amp;[Feb]"/>
      </members>
    </pivotHierarchy>
    <pivotHierarchy dragToData="1"/>
    <pivotHierarchy multipleItemSelectionAllowed="1" dragToData="1">
      <members count="1" level="1">
        <member name="[Range].[Category].&amp;[Furniture]"/>
      </members>
    </pivotHierarchy>
    <pivotHierarchy dragToData="1"/>
    <pivotHierarchy dragToData="1"/>
    <pivotHierarchy multipleItemSelectionAllowed="1" dragToData="1">
      <members count="1" level="1">
        <member name="[Range].[Sales].&amp;[5928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M">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1804A7-D4DF-47C8-BA50-CDEEC7E2B0F4}" name="PivotTable4"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6"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x v="2"/>
    </i>
  </rowItems>
  <colItems count="1">
    <i/>
  </colItems>
  <dataFields count="1">
    <dataField name="Sum of Order ID" fld="1" baseField="0" baseItem="0"/>
  </dataFields>
  <chartFormats count="8">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0" count="1" selected="0">
            <x v="0"/>
          </reference>
        </references>
      </pivotArea>
    </chartFormat>
    <chartFormat chart="6" format="7">
      <pivotArea type="data" outline="0" fieldPosition="0">
        <references count="2">
          <reference field="4294967294" count="1" selected="0">
            <x v="0"/>
          </reference>
          <reference field="0" count="1" selected="0">
            <x v="1"/>
          </reference>
        </references>
      </pivotArea>
    </chartFormat>
    <chartFormat chart="6" format="8">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37">
    <pivotHierarchy dragToData="1"/>
    <pivotHierarchy dragToData="1"/>
    <pivotHierarchy multipleItemSelectionAllowed="1" dragToData="1">
      <members count="1" level="1">
        <member name="[Range].[Month].&amp;[Feb]"/>
      </members>
    </pivotHierarchy>
    <pivotHierarchy dragToData="1"/>
    <pivotHierarchy multipleItemSelectionAllowed="1" dragToData="1">
      <members count="1" level="1">
        <member name="[Range].[Category].&amp;[Furniture]"/>
      </members>
    </pivotHierarchy>
    <pivotHierarchy multipleItemSelectionAllowed="1" dragToData="1"/>
    <pivotHierarchy dragToData="1"/>
    <pivotHierarchy multipleItemSelectionAllowed="1" dragToData="1">
      <members count="1" level="1">
        <member name="[Range].[Sales].&amp;[5928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N$2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2EA92E-0EE0-434F-963E-A77289037F8D}" name="PivotTable9" cacheId="1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8" firstHeaderRow="1" firstDataRow="1" firstDataCol="1"/>
  <pivotFields count="5">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3"/>
    </i>
    <i>
      <x v="2"/>
    </i>
    <i>
      <x v="1"/>
    </i>
    <i>
      <x/>
    </i>
    <i>
      <x v="4"/>
    </i>
  </rowItems>
  <colItems count="1">
    <i/>
  </colItems>
  <dataFields count="1">
    <dataField name="Sum of amount" fld="1" baseField="0" baseItem="0"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7">
    <pivotHierarchy dragToData="1"/>
    <pivotHierarchy dragToData="1"/>
    <pivotHierarchy multipleItemSelectionAllowed="1" dragToData="1">
      <members count="1" level="1">
        <member name="[Range].[Month].&amp;[Feb]"/>
      </members>
    </pivotHierarchy>
    <pivotHierarchy dragToData="1"/>
    <pivotHierarchy multipleItemSelectionAllowed="1" dragToData="1">
      <members count="1" level="1">
        <member name="[Range].[Category].&amp;[Furniture]"/>
      </members>
    </pivotHierarchy>
    <pivotHierarchy multipleItemSelectionAllowed="1" dragToData="1"/>
    <pivotHierarchy dragToData="1"/>
    <pivotHierarchy multipleItemSelectionAllowed="1" dragToData="1">
      <members count="1" level="1">
        <member name="[Range].[Sales].&amp;[5928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5">
      <autoFilter ref="A1">
        <filterColumn colId="0">
          <top10 val="5" filterVal="5"/>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N$2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50CA6F-8D05-477A-A19C-09769323AB58}" name="PivotTable10" cacheId="1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C7" firstHeaderRow="1" firstDataRow="2" firstDataCol="1"/>
  <pivotFields count="6">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x v="2"/>
    </i>
  </rowItems>
  <colFields count="1">
    <field x="1"/>
  </colFields>
  <colItems count="2">
    <i>
      <x/>
    </i>
    <i>
      <x v="1"/>
    </i>
  </colItems>
  <dataFields count="1">
    <dataField name="Sum of Order ID" fld="2" showDataAs="percentOfTotal" baseField="0" baseItem="0" numFmtId="10"/>
  </dataFields>
  <chartFormats count="9">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3">
          <reference field="4294967294" count="1" selected="0">
            <x v="0"/>
          </reference>
          <reference field="0" count="1" selected="0">
            <x v="0"/>
          </reference>
          <reference field="1" count="1" selected="0">
            <x v="1"/>
          </reference>
        </references>
      </pivotArea>
    </chartFormat>
    <chartFormat chart="0" format="3">
      <pivotArea type="data" outline="0" fieldPosition="0">
        <references count="3">
          <reference field="4294967294" count="1" selected="0">
            <x v="0"/>
          </reference>
          <reference field="0" count="1" selected="0">
            <x v="2"/>
          </reference>
          <reference field="1" count="1" selected="0">
            <x v="1"/>
          </reference>
        </references>
      </pivotArea>
    </chartFormat>
    <chartFormat chart="0" format="4">
      <pivotArea type="data" outline="0" fieldPosition="0">
        <references count="3">
          <reference field="4294967294" count="1" selected="0">
            <x v="0"/>
          </reference>
          <reference field="0" count="1" selected="0">
            <x v="1"/>
          </reference>
          <reference field="1" count="1" selected="0">
            <x v="1"/>
          </reference>
        </references>
      </pivotArea>
    </chartFormat>
    <chartFormat chart="3" format="5" series="1">
      <pivotArea type="data" outline="0" fieldPosition="0">
        <references count="2">
          <reference field="4294967294" count="1" selected="0">
            <x v="0"/>
          </reference>
          <reference field="1" count="1" selected="0">
            <x v="0"/>
          </reference>
        </references>
      </pivotArea>
    </chartFormat>
    <chartFormat chart="3" format="6" series="1">
      <pivotArea type="data" outline="0" fieldPosition="0">
        <references count="2">
          <reference field="4294967294" count="1" selected="0">
            <x v="0"/>
          </reference>
          <reference field="1" count="1" selected="0">
            <x v="1"/>
          </reference>
        </references>
      </pivotArea>
    </chartFormat>
    <chartFormat chart="4" format="7" series="1">
      <pivotArea type="data" outline="0" fieldPosition="0">
        <references count="2">
          <reference field="4294967294" count="1" selected="0">
            <x v="0"/>
          </reference>
          <reference field="1" count="1" selected="0">
            <x v="0"/>
          </reference>
        </references>
      </pivotArea>
    </chartFormat>
    <chartFormat chart="4" format="8" series="1">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dragToData="1"/>
    <pivotHierarchy multipleItemSelectionAllowed="1" dragToData="1">
      <members count="1" level="1">
        <member name="[Range].[Month].&amp;[Feb]"/>
      </members>
    </pivotHierarchy>
    <pivotHierarchy dragToData="1"/>
    <pivotHierarchy multipleItemSelectionAllowed="1" dragToData="1">
      <members count="1" level="1">
        <member name="[Range].[Category].&amp;[Furniture]"/>
      </members>
    </pivotHierarchy>
    <pivotHierarchy multipleItemSelectionAllowed="1" dragToData="1"/>
    <pivotHierarchy dragToData="1"/>
    <pivotHierarchy multipleItemSelectionAllowed="1" dragToData="1">
      <members count="1" level="1">
        <member name="[Range].[Sales].&amp;[59280]"/>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N$2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5D1E7C2-5F92-499A-86F4-1D4382FA9B1D}" sourceName="[Range].[Category]">
  <pivotTables>
    <pivotTable tabId="4" name="PivotTable2"/>
    <pivotTable tabId="13" name="PivotTable10"/>
    <pivotTable tabId="2" name="PivotTable1"/>
    <pivotTable tabId="12" name="PivotTable9"/>
    <pivotTable tabId="7" name="PivotTable4"/>
  </pivotTables>
  <data>
    <olap pivotCacheId="982523535">
      <levels count="2">
        <level uniqueName="[Range].[Category].[(All)]" sourceCaption="(All)" count="0"/>
        <level uniqueName="[Range].[Category].[Category]" sourceCaption="Category" count="3">
          <ranges>
            <range startItem="0">
              <i n="[Range].[Category].&amp;[Furniture]" c="Furniture"/>
              <i n="[Range].[Category].&amp;" c="(blank)" nd="1"/>
              <i n="[Range].[Category].&amp;[Electronics]" c="Electronics" nd="1"/>
            </range>
          </ranges>
        </level>
      </levels>
      <selections count="1">
        <selection n="[Range].[Category].&amp;[Furnitur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0BE54AB-D6D9-4ECB-8D55-BAA4ED2291F3}" sourceName="[Range].[Month]">
  <pivotTables>
    <pivotTable tabId="4" name="PivotTable2"/>
    <pivotTable tabId="13" name="PivotTable10"/>
    <pivotTable tabId="2" name="PivotTable1"/>
    <pivotTable tabId="12" name="PivotTable9"/>
    <pivotTable tabId="7" name="PivotTable4"/>
  </pivotTables>
  <data>
    <olap pivotCacheId="982523535">
      <levels count="2">
        <level uniqueName="[Range].[Month].[(All)]" sourceCaption="(All)" count="0"/>
        <level uniqueName="[Range].[Month].[Month]" sourceCaption="Month" count="7">
          <ranges>
            <range startItem="0">
              <i n="[Range].[Month].&amp;[Feb]" c="Feb"/>
              <i n="[Range].[Month].&amp;" c="(blank)" nd="1"/>
              <i n="[Range].[Month].&amp;[Apr]" c="Apr" nd="1"/>
              <i n="[Range].[Month].&amp;[Jan]" c="Jan" nd="1"/>
              <i n="[Range].[Month].&amp;[Jun]" c="Jun" nd="1"/>
              <i n="[Range].[Month].&amp;[Mar]" c="Mar" nd="1"/>
              <i n="[Range].[Month].&amp;[May]" c="May" nd="1"/>
            </range>
          </ranges>
        </level>
      </levels>
      <selections count="1">
        <selection n="[Range].[Month].&amp;[Feb]"/>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5AD9A187-E9F6-46E8-AEFF-8BF40C96F7E8}" sourceName="[Range].[Sales]">
  <pivotTables>
    <pivotTable tabId="4" name="PivotTable2"/>
    <pivotTable tabId="13" name="PivotTable10"/>
    <pivotTable tabId="2" name="PivotTable1"/>
    <pivotTable tabId="12" name="PivotTable9"/>
    <pivotTable tabId="7" name="PivotTable4"/>
  </pivotTables>
  <data>
    <olap pivotCacheId="982523535">
      <levels count="2">
        <level uniqueName="[Range].[Sales].[(All)]" sourceCaption="(All)" count="0"/>
        <level uniqueName="[Range].[Sales].[Sales]" sourceCaption="Sales" count="201">
          <ranges>
            <range startItem="0">
              <i n="[Range].[Sales].&amp;[18612]" c="18612"/>
              <i n="[Range].[Sales].&amp;[59280]" c="59280"/>
              <i n="[Range].[Sales].&amp;[62420]" c="62420"/>
              <i n="[Range].[Sales].&amp;[97820]" c="97820"/>
              <i n="[Range].[Sales].&amp;[113952]" c="113952"/>
              <i n="[Range].[Sales].&amp;[121226]" c="121226"/>
              <i n="[Range].[Sales].&amp;[125523]" c="125523"/>
              <i n="[Range].[Sales].&amp;[155608]" c="155608"/>
              <i n="[Range].[Sales].&amp;" c="(blank)" nd="1"/>
              <i n="[Range].[Sales].&amp;[724]" c="724" nd="1"/>
              <i n="[Range].[Sales].&amp;[1063]" c="1063" nd="1"/>
              <i n="[Range].[Sales].&amp;[1189]" c="1189" nd="1"/>
              <i n="[Range].[Sales].&amp;[1324]" c="1324" nd="1"/>
              <i n="[Range].[Sales].&amp;[1675]" c="1675" nd="1"/>
              <i n="[Range].[Sales].&amp;[1910]" c="1910" nd="1"/>
              <i n="[Range].[Sales].&amp;[2640]" c="2640" nd="1"/>
              <i n="[Range].[Sales].&amp;[2928]" c="2928" nd="1"/>
              <i n="[Range].[Sales].&amp;[3258]" c="3258" nd="1"/>
              <i n="[Range].[Sales].&amp;[3360]" c="3360" nd="1"/>
              <i n="[Range].[Sales].&amp;[3376]" c="3376" nd="1"/>
              <i n="[Range].[Sales].&amp;[3525]" c="3525" nd="1"/>
              <i n="[Range].[Sales].&amp;[3969]" c="3969" nd="1"/>
              <i n="[Range].[Sales].&amp;[4053]" c="4053" nd="1"/>
              <i n="[Range].[Sales].&amp;[4324]" c="4324" nd="1"/>
              <i n="[Range].[Sales].&amp;[4424]" c="4424" nd="1"/>
              <i n="[Range].[Sales].&amp;[4584]" c="4584" nd="1"/>
              <i n="[Range].[Sales].&amp;[4627]" c="4627" nd="1"/>
              <i n="[Range].[Sales].&amp;[4941]" c="4941" nd="1"/>
              <i n="[Range].[Sales].&amp;[5128]" c="5128" nd="1"/>
              <i n="[Range].[Sales].&amp;[5304]" c="5304" nd="1"/>
              <i n="[Range].[Sales].&amp;[5618]" c="5618" nd="1"/>
              <i n="[Range].[Sales].&amp;[5841]" c="5841" nd="1"/>
              <i n="[Range].[Sales].&amp;[5845]" c="5845" nd="1"/>
              <i n="[Range].[Sales].&amp;[6102]" c="6102" nd="1"/>
              <i n="[Range].[Sales].&amp;[6636]" c="6636" nd="1"/>
              <i n="[Range].[Sales].&amp;[6660]" c="6660" nd="1"/>
              <i n="[Range].[Sales].&amp;[6720]" c="6720" nd="1"/>
              <i n="[Range].[Sales].&amp;[7210]" c="7210" nd="1"/>
              <i n="[Range].[Sales].&amp;[7508]" c="7508" nd="1"/>
              <i n="[Range].[Sales].&amp;[7690]" c="7690" nd="1"/>
              <i n="[Range].[Sales].&amp;[7808]" c="7808" nd="1"/>
              <i n="[Range].[Sales].&amp;[7910]" c="7910" nd="1"/>
              <i n="[Range].[Sales].&amp;[8388]" c="8388" nd="1"/>
              <i n="[Range].[Sales].&amp;[8607]" c="8607" nd="1"/>
              <i n="[Range].[Sales].&amp;[8836]" c="8836" nd="1"/>
              <i n="[Range].[Sales].&amp;[8860]" c="8860" nd="1"/>
              <i n="[Range].[Sales].&amp;[9464]" c="9464" nd="1"/>
              <i n="[Range].[Sales].&amp;[9505]" c="9505" nd="1"/>
              <i n="[Range].[Sales].&amp;[9690]" c="9690" nd="1"/>
              <i n="[Range].[Sales].&amp;[9696]" c="9696" nd="1"/>
              <i n="[Range].[Sales].&amp;[9915]" c="9915" nd="1"/>
              <i n="[Range].[Sales].&amp;[9992]" c="9992" nd="1"/>
              <i n="[Range].[Sales].&amp;[10212]" c="10212" nd="1"/>
              <i n="[Range].[Sales].&amp;[10326]" c="10326" nd="1"/>
              <i n="[Range].[Sales].&amp;[11286]" c="11286" nd="1"/>
              <i n="[Range].[Sales].&amp;[11763]" c="11763" nd="1"/>
              <i n="[Range].[Sales].&amp;[12168]" c="12168" nd="1"/>
              <i n="[Range].[Sales].&amp;[13196]" c="13196" nd="1"/>
              <i n="[Range].[Sales].&amp;[13952]" c="13952" nd="1"/>
              <i n="[Range].[Sales].&amp;[13960]" c="13960" nd="1"/>
              <i n="[Range].[Sales].&amp;[13970]" c="13970" nd="1"/>
              <i n="[Range].[Sales].&amp;[14360]" c="14360" nd="1"/>
              <i n="[Range].[Sales].&amp;[14511]" c="14511" nd="1"/>
              <i n="[Range].[Sales].&amp;[14730]" c="14730" nd="1"/>
              <i n="[Range].[Sales].&amp;[14865]" c="14865" nd="1"/>
              <i n="[Range].[Sales].&amp;[16116]" c="16116" nd="1"/>
              <i n="[Range].[Sales].&amp;[17305]" c="17305" nd="1"/>
              <i n="[Range].[Sales].&amp;[18000]" c="18000" nd="1"/>
              <i n="[Range].[Sales].&amp;[19002]" c="19002" nd="1"/>
              <i n="[Range].[Sales].&amp;[19964]" c="19964" nd="1"/>
              <i n="[Range].[Sales].&amp;[20432]" c="20432" nd="1"/>
              <i n="[Range].[Sales].&amp;[20528]" c="20528" nd="1"/>
              <i n="[Range].[Sales].&amp;[20896]" c="20896" nd="1"/>
              <i n="[Range].[Sales].&amp;[21014]" c="21014" nd="1"/>
              <i n="[Range].[Sales].&amp;[21288]" c="21288" nd="1"/>
              <i n="[Range].[Sales].&amp;[21440]" c="21440" nd="1"/>
              <i n="[Range].[Sales].&amp;[21772]" c="21772" nd="1"/>
              <i n="[Range].[Sales].&amp;[22024]" c="22024" nd="1"/>
              <i n="[Range].[Sales].&amp;[22744]" c="22744" nd="1"/>
              <i n="[Range].[Sales].&amp;[24502]" c="24502" nd="1"/>
              <i n="[Range].[Sales].&amp;[25400]" c="25400" nd="1"/>
              <i n="[Range].[Sales].&amp;[25648]" c="25648" nd="1"/>
              <i n="[Range].[Sales].&amp;[26008]" c="26008" nd="1"/>
              <i n="[Range].[Sales].&amp;[26034]" c="26034" nd="1"/>
              <i n="[Range].[Sales].&amp;[27000]" c="27000" nd="1"/>
              <i n="[Range].[Sales].&amp;[27454]" c="27454" nd="1"/>
              <i n="[Range].[Sales].&amp;[27826]" c="27826" nd="1"/>
              <i n="[Range].[Sales].&amp;[28610]" c="28610" nd="1"/>
              <i n="[Range].[Sales].&amp;[28689]" c="28689" nd="1"/>
              <i n="[Range].[Sales].&amp;[29752]" c="29752" nd="1"/>
              <i n="[Range].[Sales].&amp;[30549]" c="30549" nd="1"/>
              <i n="[Range].[Sales].&amp;[33130]" c="33130" nd="1"/>
              <i n="[Range].[Sales].&amp;[33596]" c="33596" nd="1"/>
              <i n="[Range].[Sales].&amp;[38590]" c="38590" nd="1"/>
              <i n="[Range].[Sales].&amp;[38670]" c="38670" nd="1"/>
              <i n="[Range].[Sales].&amp;[40545]" c="40545" nd="1"/>
              <i n="[Range].[Sales].&amp;[40650]" c="40650" nd="1"/>
              <i n="[Range].[Sales].&amp;[40768]" c="40768" nd="1"/>
              <i n="[Range].[Sales].&amp;[40910]" c="40910" nd="1"/>
              <i n="[Range].[Sales].&amp;[43188]" c="43188" nd="1"/>
              <i n="[Range].[Sales].&amp;[45081]" c="45081" nd="1"/>
              <i n="[Range].[Sales].&amp;[45996]" c="45996" nd="1"/>
              <i n="[Range].[Sales].&amp;[46920]" c="46920" nd="1"/>
              <i n="[Range].[Sales].&amp;[47456]" c="47456" nd="1"/>
              <i n="[Range].[Sales].&amp;[49865]" c="49865" nd="1"/>
              <i n="[Range].[Sales].&amp;[51205]" c="51205" nd="1"/>
              <i n="[Range].[Sales].&amp;[51558]" c="51558" nd="1"/>
              <i n="[Range].[Sales].&amp;[52444]" c="52444" nd="1"/>
              <i n="[Range].[Sales].&amp;[54546]" c="54546" nd="1"/>
              <i n="[Range].[Sales].&amp;[54957]" c="54957" nd="1"/>
              <i n="[Range].[Sales].&amp;[55216]" c="55216" nd="1"/>
              <i n="[Range].[Sales].&amp;[55308]" c="55308" nd="1"/>
              <i n="[Range].[Sales].&amp;[56928]" c="56928" nd="1"/>
              <i n="[Range].[Sales].&amp;[57414]" c="57414" nd="1"/>
              <i n="[Range].[Sales].&amp;[57743]" c="57743" nd="1"/>
              <i n="[Range].[Sales].&amp;[60120]" c="60120" nd="1"/>
              <i n="[Range].[Sales].&amp;[60260]" c="60260" nd="1"/>
              <i n="[Range].[Sales].&amp;[60400]" c="60400" nd="1"/>
              <i n="[Range].[Sales].&amp;[62270]" c="62270" nd="1"/>
              <i n="[Range].[Sales].&amp;[62730]" c="62730" nd="1"/>
              <i n="[Range].[Sales].&amp;[63336]" c="63336" nd="1"/>
              <i n="[Range].[Sales].&amp;[64434]" c="64434" nd="1"/>
              <i n="[Range].[Sales].&amp;[64744]" c="64744" nd="1"/>
              <i n="[Range].[Sales].&amp;[64788]" c="64788" nd="1"/>
              <i n="[Range].[Sales].&amp;[66384]" c="66384" nd="1"/>
              <i n="[Range].[Sales].&amp;[68094]" c="68094" nd="1"/>
              <i n="[Range].[Sales].&amp;[69180]" c="69180" nd="1"/>
              <i n="[Range].[Sales].&amp;[69447]" c="69447" nd="1"/>
              <i n="[Range].[Sales].&amp;[69505]" c="69505" nd="1"/>
              <i n="[Range].[Sales].&amp;[70551]" c="70551" nd="1"/>
              <i n="[Range].[Sales].&amp;[71634]" c="71634" nd="1"/>
              <i n="[Range].[Sales].&amp;[74176]" c="74176" nd="1"/>
              <i n="[Range].[Sales].&amp;[75761]" c="75761" nd="1"/>
              <i n="[Range].[Sales].&amp;[76685]" c="76685" nd="1"/>
              <i n="[Range].[Sales].&amp;[76979]" c="76979" nd="1"/>
              <i n="[Range].[Sales].&amp;[77025]" c="77025" nd="1"/>
              <i n="[Range].[Sales].&amp;[77270]" c="77270" nd="1"/>
              <i n="[Range].[Sales].&amp;[77436]" c="77436" nd="1"/>
              <i n="[Range].[Sales].&amp;[79862]" c="79862" nd="1"/>
              <i n="[Range].[Sales].&amp;[82176]" c="82176" nd="1"/>
              <i n="[Range].[Sales].&amp;[83180]" c="83180" nd="1"/>
              <i n="[Range].[Sales].&amp;[86440]" c="86440" nd="1"/>
              <i n="[Range].[Sales].&amp;[87944]" c="87944" nd="1"/>
              <i n="[Range].[Sales].&amp;[88624]" c="88624" nd="1"/>
              <i n="[Range].[Sales].&amp;[89625]" c="89625" nd="1"/>
              <i n="[Range].[Sales].&amp;[89730]" c="89730" nd="1"/>
              <i n="[Range].[Sales].&amp;[93440]" c="93440" nd="1"/>
              <i n="[Range].[Sales].&amp;[95025]" c="95025" nd="1"/>
              <i n="[Range].[Sales].&amp;[95464]" c="95464" nd="1"/>
              <i n="[Range].[Sales].&amp;[98024]" c="98024" nd="1"/>
              <i n="[Range].[Sales].&amp;[98656]" c="98656" nd="1"/>
              <i n="[Range].[Sales].&amp;[104236]" c="104236" nd="1"/>
              <i n="[Range].[Sales].&amp;[106862]" c="106862" nd="1"/>
              <i n="[Range].[Sales].&amp;[108138]" c="108138" nd="1"/>
              <i n="[Range].[Sales].&amp;[109385]" c="109385" nd="1"/>
              <i n="[Range].[Sales].&amp;[111405]" c="111405" nd="1"/>
              <i n="[Range].[Sales].&amp;[111440]" c="111440" nd="1"/>
              <i n="[Range].[Sales].&amp;[111804]" c="111804" nd="1"/>
              <i n="[Range].[Sales].&amp;[113088]" c="113088" nd="1"/>
              <i n="[Range].[Sales].&amp;[119416]" c="119416" nd="1"/>
              <i n="[Range].[Sales].&amp;[121653]" c="121653" nd="1"/>
              <i n="[Range].[Sales].&amp;[126959]" c="126959" nd="1"/>
              <i n="[Range].[Sales].&amp;[129573]" c="129573" nd="1"/>
              <i n="[Range].[Sales].&amp;[131319]" c="131319" nd="1"/>
              <i n="[Range].[Sales].&amp;[133790]" c="133790" nd="1"/>
              <i n="[Range].[Sales].&amp;[134820]" c="134820" nd="1"/>
              <i n="[Range].[Sales].&amp;[141282]" c="141282" nd="1"/>
              <i n="[Range].[Sales].&amp;[142152]" c="142152" nd="1"/>
              <i n="[Range].[Sales].&amp;[142460]" c="142460" nd="1"/>
              <i n="[Range].[Sales].&amp;[146990]" c="146990" nd="1"/>
              <i n="[Range].[Sales].&amp;[148192]" c="148192" nd="1"/>
              <i n="[Range].[Sales].&amp;[148200]" c="148200" nd="1"/>
              <i n="[Range].[Sales].&amp;[155656]" c="155656" nd="1"/>
              <i n="[Range].[Sales].&amp;[159928]" c="159928" nd="1"/>
              <i n="[Range].[Sales].&amp;[162240]" c="162240" nd="1"/>
              <i n="[Range].[Sales].&amp;[164570]" c="164570" nd="1"/>
              <i n="[Range].[Sales].&amp;[167712]" c="167712" nd="1"/>
              <i n="[Range].[Sales].&amp;[169990]" c="169990" nd="1"/>
              <i n="[Range].[Sales].&amp;[170704]" c="170704" nd="1"/>
              <i n="[Range].[Sales].&amp;[174789]" c="174789" nd="1"/>
              <i n="[Range].[Sales].&amp;[185604]" c="185604" nd="1"/>
              <i n="[Range].[Sales].&amp;[187840]" c="187840" nd="1"/>
              <i n="[Range].[Sales].&amp;[188088]" c="188088" nd="1"/>
              <i n="[Range].[Sales].&amp;[195714]" c="195714" nd="1"/>
              <i n="[Range].[Sales].&amp;[207072]" c="207072" nd="1"/>
              <i n="[Range].[Sales].&amp;[232062]" c="232062" nd="1"/>
              <i n="[Range].[Sales].&amp;[237858]" c="237858" nd="1"/>
              <i n="[Range].[Sales].&amp;[244452]" c="244452" nd="1"/>
              <i n="[Range].[Sales].&amp;[269015]" c="269015" nd="1"/>
              <i n="[Range].[Sales].&amp;[272830]" c="272830" nd="1"/>
              <i n="[Range].[Sales].&amp;[294485]" c="294485" nd="1"/>
              <i n="[Range].[Sales].&amp;[339030]" c="339030" nd="1"/>
              <i n="[Range].[Sales].&amp;[345717]" c="345717" nd="1"/>
              <i n="[Range].[Sales].&amp;[362250]" c="362250" nd="1"/>
              <i n="[Range].[Sales].&amp;[403720]" c="403720" nd="1"/>
              <i n="[Range].[Sales].&amp;[427689]" c="427689" nd="1"/>
              <i n="[Range].[Sales].&amp;[450400]" c="450400" nd="1"/>
              <i n="[Range].[Sales].&amp;[461979]" c="461979" nd="1"/>
              <i n="[Range].[Sales].&amp;[487305]" c="487305" nd="1"/>
              <i n="[Range].[Sales].&amp;[491580]" c="491580" nd="1"/>
              <i n="[Range].[Sales].&amp;[562430]" c="562430" nd="1"/>
            </range>
          </ranges>
        </level>
      </levels>
      <selections count="1">
        <selection n="[Range].[Sales].&amp;[59280]"/>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03C12B1-8D82-4CAA-B02A-7488894E66DC}" cache="Slicer_Category" caption="Category" level="1" rowHeight="257175"/>
  <slicer name="Month" xr10:uid="{FCD11AE0-54EA-47A0-9C17-994EFAD9761F}" cache="Slicer_Month" caption="Month" level="1" rowHeight="257175"/>
  <slicer name="Sales" xr10:uid="{50D1A9F1-AE89-4BD6-818E-7BC6A79FE43C}" cache="Slicer_Sales" caption="Sales"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4C8F9-1112-46B6-AE27-4E22D361871C}">
  <dimension ref="A1:AF46"/>
  <sheetViews>
    <sheetView showGridLines="0" tabSelected="1" zoomScale="72" zoomScaleNormal="97" workbookViewId="0">
      <selection activeCell="AA20" sqref="AA20"/>
    </sheetView>
  </sheetViews>
  <sheetFormatPr defaultRowHeight="15"/>
  <cols>
    <col min="14" max="14" width="5.42578125" customWidth="1"/>
    <col min="15" max="15" width="16.7109375" customWidth="1"/>
    <col min="16" max="16" width="14.140625" customWidth="1"/>
  </cols>
  <sheetData>
    <row r="1" spans="1:29" ht="21">
      <c r="A1" s="13" t="s">
        <v>31</v>
      </c>
      <c r="B1" s="13"/>
      <c r="C1" s="13"/>
      <c r="D1" s="13"/>
      <c r="E1" s="13"/>
      <c r="F1" s="13"/>
      <c r="G1" s="13"/>
      <c r="H1" s="13"/>
      <c r="I1" s="13"/>
      <c r="J1" s="13"/>
      <c r="K1" s="13"/>
      <c r="L1" s="13"/>
      <c r="M1" s="13"/>
      <c r="N1" s="13"/>
      <c r="O1" s="13"/>
      <c r="P1" s="13"/>
      <c r="Q1" s="13"/>
      <c r="R1" s="13"/>
      <c r="S1" s="13"/>
      <c r="T1" s="13"/>
      <c r="U1" s="13"/>
      <c r="V1" s="9"/>
      <c r="W1" s="9"/>
      <c r="X1" s="9"/>
      <c r="Y1" s="9"/>
      <c r="Z1" s="9"/>
      <c r="AA1" s="9"/>
      <c r="AB1" s="9"/>
      <c r="AC1" s="9"/>
    </row>
    <row r="2" spans="1:29">
      <c r="A2" s="9"/>
      <c r="B2" s="9"/>
      <c r="C2" s="9"/>
      <c r="D2" s="9"/>
      <c r="E2" s="9"/>
      <c r="F2" s="9"/>
      <c r="G2" s="9"/>
      <c r="H2" s="9"/>
      <c r="I2" s="9"/>
      <c r="J2" s="9"/>
      <c r="K2" s="9"/>
      <c r="L2" s="9"/>
      <c r="M2" s="9"/>
      <c r="N2" s="9"/>
      <c r="O2" s="9"/>
      <c r="P2" s="9"/>
      <c r="Q2" s="9"/>
      <c r="R2" s="9"/>
      <c r="S2" s="9"/>
      <c r="T2" s="9"/>
      <c r="U2" s="9"/>
      <c r="V2" s="9"/>
      <c r="W2" s="9"/>
      <c r="X2" s="9"/>
      <c r="Y2" s="9"/>
      <c r="Z2" s="9"/>
      <c r="AA2" s="9"/>
      <c r="AB2" s="9"/>
      <c r="AC2" s="9"/>
    </row>
    <row r="3" spans="1:29">
      <c r="A3" s="9"/>
      <c r="B3" s="9"/>
      <c r="C3" s="9"/>
      <c r="D3" s="9"/>
      <c r="E3" s="9"/>
      <c r="F3" s="9"/>
      <c r="G3" s="9"/>
      <c r="H3" s="9"/>
      <c r="I3" s="9"/>
      <c r="J3" s="9"/>
      <c r="K3" s="9"/>
      <c r="L3" s="9"/>
      <c r="M3" s="9"/>
      <c r="N3" s="9"/>
      <c r="O3" s="9"/>
      <c r="P3" s="9"/>
      <c r="Q3" s="9"/>
      <c r="R3" s="9"/>
      <c r="S3" s="9"/>
      <c r="T3" s="9"/>
      <c r="U3" s="9"/>
      <c r="V3" s="9"/>
      <c r="X3" s="9"/>
      <c r="Y3" s="9"/>
      <c r="Z3" s="9"/>
      <c r="AA3" s="9"/>
      <c r="AB3" s="9"/>
      <c r="AC3" s="9"/>
    </row>
    <row r="4" spans="1:29">
      <c r="A4" s="9"/>
      <c r="B4" s="9"/>
      <c r="C4" s="9"/>
      <c r="D4" s="9"/>
      <c r="E4" s="9"/>
      <c r="F4" s="9"/>
      <c r="G4" s="9"/>
      <c r="H4" s="9"/>
      <c r="I4" s="9"/>
      <c r="J4" s="9"/>
      <c r="K4" s="9"/>
      <c r="L4" s="9"/>
      <c r="M4" s="9"/>
      <c r="N4" s="9"/>
      <c r="O4" s="9"/>
      <c r="P4" s="9"/>
      <c r="Q4" s="9"/>
      <c r="R4" s="9"/>
      <c r="S4" s="9"/>
      <c r="T4" s="9"/>
      <c r="U4" s="9"/>
      <c r="V4" s="9"/>
      <c r="X4" s="9"/>
      <c r="Y4" s="9"/>
      <c r="Z4" s="9"/>
      <c r="AA4" s="9"/>
      <c r="AB4" s="9"/>
      <c r="AC4" s="9"/>
    </row>
    <row r="5" spans="1:29">
      <c r="A5" s="9"/>
      <c r="B5" s="9"/>
      <c r="C5" s="9"/>
      <c r="D5" s="9"/>
      <c r="E5" s="9"/>
      <c r="F5" s="9"/>
      <c r="G5" s="9"/>
      <c r="H5" s="9"/>
      <c r="I5" s="9"/>
      <c r="J5" s="9"/>
      <c r="K5" s="9"/>
      <c r="L5" s="9"/>
      <c r="M5" s="9"/>
      <c r="N5" s="9"/>
      <c r="O5" s="9"/>
      <c r="P5" s="9"/>
      <c r="Q5" s="9"/>
      <c r="R5" s="9"/>
      <c r="S5" s="9"/>
      <c r="T5" s="9"/>
      <c r="U5" s="9"/>
      <c r="V5" s="9"/>
      <c r="X5" s="9"/>
      <c r="Y5" s="9"/>
      <c r="Z5" s="9"/>
      <c r="AA5" s="9"/>
      <c r="AB5" s="9"/>
      <c r="AC5" s="9"/>
    </row>
    <row r="6" spans="1:29">
      <c r="A6" s="9"/>
      <c r="B6" s="9"/>
      <c r="C6" s="9"/>
      <c r="D6" s="9"/>
      <c r="E6" s="9"/>
      <c r="F6" s="9"/>
      <c r="G6" s="9"/>
      <c r="H6" s="9"/>
      <c r="I6" s="9"/>
      <c r="J6" s="9"/>
      <c r="K6" s="9"/>
      <c r="L6" s="9"/>
      <c r="M6" s="9"/>
      <c r="N6" s="9"/>
      <c r="O6" s="9"/>
      <c r="P6" s="9"/>
      <c r="Q6" s="9"/>
      <c r="R6" s="9"/>
      <c r="S6" s="9"/>
      <c r="T6" s="9"/>
      <c r="U6" s="9"/>
      <c r="V6" s="9"/>
      <c r="X6" s="9"/>
      <c r="Y6" s="9"/>
      <c r="Z6" s="9"/>
      <c r="AA6" s="9"/>
      <c r="AB6" s="9"/>
      <c r="AC6" s="9"/>
    </row>
    <row r="7" spans="1:29">
      <c r="A7" s="9"/>
      <c r="B7" s="6"/>
      <c r="C7" s="6"/>
      <c r="D7" s="9"/>
      <c r="E7" s="9"/>
      <c r="F7" s="9"/>
      <c r="G7" s="9"/>
      <c r="H7" s="9"/>
      <c r="I7" s="9"/>
      <c r="J7" s="9"/>
      <c r="K7" s="9"/>
      <c r="L7" s="9"/>
      <c r="M7" s="9"/>
      <c r="N7" s="9"/>
      <c r="O7" s="9"/>
      <c r="P7" s="9"/>
      <c r="Q7" s="9"/>
      <c r="R7" s="9"/>
      <c r="S7" s="9"/>
      <c r="T7" s="9"/>
      <c r="U7" s="9"/>
      <c r="V7" s="9"/>
      <c r="W7" s="9"/>
      <c r="X7" s="9"/>
      <c r="Y7" s="9"/>
      <c r="Z7" s="9"/>
      <c r="AA7" s="9"/>
      <c r="AB7" s="9"/>
      <c r="AC7" s="9"/>
    </row>
    <row r="8" spans="1:29">
      <c r="A8" s="9"/>
      <c r="B8" s="6"/>
      <c r="C8" s="6"/>
      <c r="D8" s="9"/>
      <c r="E8" s="9"/>
      <c r="F8" s="9"/>
      <c r="G8" s="9"/>
      <c r="H8" s="9"/>
      <c r="I8" s="9"/>
      <c r="J8" s="9"/>
      <c r="K8" s="9"/>
      <c r="L8" s="9"/>
      <c r="M8" s="9"/>
      <c r="N8" s="9"/>
      <c r="O8" s="9"/>
      <c r="P8" s="9"/>
      <c r="Q8" s="9"/>
      <c r="R8" s="9"/>
      <c r="S8" s="9"/>
      <c r="T8" s="9"/>
      <c r="U8" s="9"/>
      <c r="V8" s="9"/>
      <c r="W8" s="9"/>
      <c r="X8" s="9"/>
      <c r="Y8" s="9"/>
      <c r="Z8" s="9"/>
      <c r="AA8" s="9"/>
      <c r="AB8" s="9"/>
      <c r="AC8" s="9"/>
    </row>
    <row r="9" spans="1:29">
      <c r="A9" s="9"/>
      <c r="B9" s="6"/>
      <c r="C9" s="6"/>
      <c r="D9" s="9"/>
      <c r="E9" s="9"/>
      <c r="F9" s="9"/>
      <c r="G9" s="9"/>
      <c r="H9" s="9"/>
      <c r="I9" s="9"/>
      <c r="J9" s="9"/>
      <c r="K9" s="9"/>
      <c r="L9" s="9"/>
      <c r="M9" s="9"/>
      <c r="N9" s="9"/>
      <c r="O9" s="9"/>
      <c r="P9" s="9"/>
      <c r="Q9" s="9"/>
      <c r="R9" s="9"/>
      <c r="S9" s="9"/>
      <c r="T9" s="9"/>
      <c r="U9" s="9"/>
      <c r="V9" s="9"/>
      <c r="W9" s="9"/>
      <c r="X9" s="9"/>
      <c r="Y9" s="9"/>
      <c r="Z9" s="9"/>
      <c r="AA9" s="9"/>
      <c r="AB9" s="9"/>
      <c r="AC9" s="9"/>
    </row>
    <row r="10" spans="1:29">
      <c r="A10" s="9"/>
      <c r="B10" s="6"/>
      <c r="C10" s="6"/>
      <c r="D10" s="9"/>
      <c r="E10" s="9"/>
      <c r="F10" s="9"/>
      <c r="G10" s="9"/>
      <c r="H10" s="9"/>
      <c r="I10" s="9"/>
      <c r="J10" s="9"/>
      <c r="K10" s="9"/>
      <c r="L10" s="9"/>
      <c r="M10" s="9"/>
      <c r="N10" s="9"/>
      <c r="O10" s="9"/>
      <c r="P10" s="9"/>
      <c r="Q10" s="9"/>
      <c r="R10" s="9"/>
      <c r="S10" s="9"/>
      <c r="T10" s="9"/>
      <c r="U10" s="9"/>
      <c r="V10" s="9"/>
      <c r="W10" s="9"/>
      <c r="X10" s="9"/>
      <c r="Y10" s="9"/>
      <c r="Z10" s="9"/>
      <c r="AA10" s="9"/>
      <c r="AB10" s="9"/>
      <c r="AC10" s="9"/>
    </row>
    <row r="11" spans="1:29" ht="46.5" customHeight="1">
      <c r="A11" s="9"/>
      <c r="B11" s="9"/>
      <c r="C11" s="9"/>
      <c r="D11" s="9"/>
      <c r="E11" s="9"/>
      <c r="F11" s="9"/>
      <c r="G11" s="9"/>
      <c r="H11" s="9"/>
      <c r="I11" s="9"/>
      <c r="J11" s="9"/>
      <c r="K11" s="9"/>
      <c r="L11" s="9"/>
      <c r="M11" s="9"/>
      <c r="N11" s="9"/>
      <c r="O11" s="9"/>
      <c r="P11" s="9"/>
      <c r="Q11" s="9"/>
      <c r="R11" s="9"/>
      <c r="S11" s="9"/>
      <c r="T11" s="9"/>
      <c r="U11" s="9"/>
      <c r="X11" s="9"/>
      <c r="Y11" s="9"/>
      <c r="Z11" s="9"/>
      <c r="AA11" s="9"/>
      <c r="AB11" s="9"/>
      <c r="AC11" s="9"/>
    </row>
    <row r="12" spans="1:29">
      <c r="A12" s="9"/>
      <c r="B12" s="9"/>
      <c r="C12" s="9"/>
      <c r="D12" s="9"/>
      <c r="E12" s="9"/>
      <c r="F12" s="9"/>
      <c r="G12" s="9"/>
      <c r="H12" s="9"/>
      <c r="I12" s="9"/>
      <c r="J12" s="9"/>
      <c r="K12" s="9"/>
      <c r="L12" s="9"/>
      <c r="M12" s="9"/>
      <c r="N12" s="9"/>
      <c r="O12" s="9"/>
      <c r="P12" s="9"/>
      <c r="Q12" s="9"/>
      <c r="R12" s="9"/>
      <c r="S12" s="9"/>
      <c r="T12" s="9"/>
      <c r="U12" s="9"/>
      <c r="X12" s="9"/>
      <c r="Y12" s="9"/>
      <c r="Z12" s="9"/>
      <c r="AA12" s="9"/>
      <c r="AB12" s="9"/>
      <c r="AC12" s="9"/>
    </row>
    <row r="13" spans="1:29" ht="14.25" customHeight="1">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row>
    <row r="14" spans="1:29" ht="12" customHeight="1">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row>
    <row r="15" spans="1:29" ht="21">
      <c r="A15" s="9"/>
      <c r="B15" s="9"/>
      <c r="C15" s="9"/>
      <c r="D15" s="9"/>
      <c r="E15" s="9"/>
      <c r="F15" s="9"/>
      <c r="G15" s="9"/>
      <c r="H15" s="9"/>
      <c r="I15" s="9"/>
      <c r="J15" s="9"/>
      <c r="K15" s="9"/>
      <c r="L15" s="9"/>
      <c r="M15" s="9"/>
      <c r="N15" s="9"/>
      <c r="O15" s="9"/>
      <c r="P15" s="9"/>
      <c r="Q15" s="9"/>
      <c r="R15" s="9"/>
      <c r="S15" s="11" t="s">
        <v>51</v>
      </c>
      <c r="T15" s="11"/>
      <c r="U15" s="11"/>
      <c r="V15" s="11"/>
      <c r="W15" s="11"/>
      <c r="X15" s="10"/>
      <c r="Z15" s="9"/>
      <c r="AA15" s="9"/>
      <c r="AB15" s="9"/>
      <c r="AC15" s="9"/>
    </row>
    <row r="16" spans="1:29" ht="21">
      <c r="A16" s="9"/>
      <c r="B16" s="9"/>
      <c r="C16" s="9"/>
      <c r="D16" s="9"/>
      <c r="E16" s="9"/>
      <c r="F16" s="9"/>
      <c r="G16" s="9"/>
      <c r="H16" s="9"/>
      <c r="I16" s="9"/>
      <c r="J16" s="9"/>
      <c r="K16" s="9"/>
      <c r="L16" s="9"/>
      <c r="M16" s="9"/>
      <c r="N16" s="9"/>
      <c r="O16" s="9"/>
      <c r="P16" s="9"/>
      <c r="Q16" s="9"/>
      <c r="R16" s="9"/>
      <c r="S16" s="11" t="s">
        <v>52</v>
      </c>
      <c r="T16" s="11"/>
      <c r="U16" s="11"/>
      <c r="V16" s="11"/>
      <c r="W16" s="11"/>
      <c r="X16" s="10"/>
      <c r="Z16" s="9"/>
      <c r="AA16" s="9"/>
      <c r="AB16" s="9"/>
      <c r="AC16" s="9"/>
    </row>
    <row r="17" spans="1:32" ht="23.25" customHeight="1">
      <c r="A17" s="9"/>
      <c r="B17" s="9"/>
      <c r="C17" s="9"/>
      <c r="D17" s="9"/>
      <c r="E17" s="9"/>
      <c r="F17" s="9"/>
      <c r="G17" s="9"/>
      <c r="H17" s="9"/>
      <c r="I17" s="9"/>
      <c r="J17" s="9"/>
      <c r="K17" s="9"/>
      <c r="L17" s="9"/>
      <c r="M17" s="9"/>
      <c r="N17" s="9"/>
      <c r="O17" s="9"/>
      <c r="P17" s="9"/>
      <c r="Q17" s="9"/>
      <c r="R17" s="9"/>
      <c r="S17" s="12" t="s">
        <v>49</v>
      </c>
      <c r="T17" s="10"/>
      <c r="U17" s="10"/>
      <c r="V17" s="10"/>
      <c r="W17" s="10"/>
      <c r="X17" s="10"/>
      <c r="Y17" s="10"/>
      <c r="Z17" s="9"/>
      <c r="AA17" s="9"/>
      <c r="AB17" s="9"/>
      <c r="AC17" s="9"/>
    </row>
    <row r="18" spans="1:32" ht="18.75" customHeight="1">
      <c r="A18" s="9"/>
      <c r="B18" s="9"/>
      <c r="C18" s="9"/>
      <c r="D18" s="9"/>
      <c r="E18" s="9"/>
      <c r="F18" s="9"/>
      <c r="G18" s="9"/>
      <c r="H18" s="9"/>
      <c r="I18" s="9"/>
      <c r="J18" s="9"/>
      <c r="K18" s="9"/>
      <c r="L18" s="9"/>
      <c r="M18" s="9"/>
      <c r="N18" s="9"/>
      <c r="O18" s="9"/>
      <c r="P18" s="9"/>
      <c r="Q18" s="9"/>
      <c r="R18" s="9"/>
      <c r="S18" s="12" t="s">
        <v>48</v>
      </c>
      <c r="Z18" s="9"/>
      <c r="AA18" s="9"/>
      <c r="AB18" s="9"/>
      <c r="AC18" s="9"/>
    </row>
    <row r="19" spans="1:32" ht="18.75">
      <c r="A19" s="9"/>
      <c r="B19" s="9"/>
      <c r="C19" s="9"/>
      <c r="D19" s="9"/>
      <c r="E19" s="9"/>
      <c r="F19" s="9"/>
      <c r="G19" s="9"/>
      <c r="H19" s="9"/>
      <c r="I19" s="9"/>
      <c r="J19" s="9"/>
      <c r="K19" s="9"/>
      <c r="L19" s="9"/>
      <c r="M19" s="9"/>
      <c r="N19" s="9"/>
      <c r="O19" s="9"/>
      <c r="P19" s="9"/>
      <c r="Q19" s="9"/>
      <c r="R19" s="9"/>
      <c r="S19" s="12" t="s">
        <v>50</v>
      </c>
      <c r="T19" s="10"/>
      <c r="U19" s="10"/>
      <c r="V19" s="10"/>
      <c r="W19" s="10"/>
      <c r="X19" s="10"/>
      <c r="Z19" s="9"/>
      <c r="AA19" s="9"/>
      <c r="AB19" s="9"/>
      <c r="AC19" s="9"/>
    </row>
    <row r="20" spans="1:32">
      <c r="A20" s="9"/>
      <c r="B20" s="9"/>
      <c r="C20" s="9"/>
      <c r="D20" s="9"/>
      <c r="E20" s="9"/>
      <c r="F20" s="9"/>
      <c r="G20" s="9"/>
      <c r="H20" s="9"/>
      <c r="I20" s="9"/>
      <c r="J20" s="9"/>
      <c r="K20" s="9"/>
      <c r="L20" s="9"/>
      <c r="M20" s="9"/>
      <c r="N20" s="9"/>
      <c r="O20" s="9"/>
      <c r="P20" s="9"/>
      <c r="Q20" s="9"/>
      <c r="R20" s="9"/>
      <c r="T20" s="10"/>
      <c r="U20" s="10"/>
      <c r="V20" s="10"/>
      <c r="W20" s="10"/>
      <c r="X20" s="10"/>
      <c r="Z20" s="9"/>
      <c r="AA20" s="9"/>
      <c r="AB20" s="9"/>
      <c r="AC20" s="9"/>
    </row>
    <row r="21" spans="1:32">
      <c r="A21" s="9"/>
      <c r="B21" s="9"/>
      <c r="C21" s="9"/>
      <c r="D21" s="9"/>
      <c r="E21" s="9"/>
      <c r="F21" s="9"/>
      <c r="G21" s="9"/>
      <c r="H21" s="9"/>
      <c r="I21" s="9"/>
      <c r="J21" s="9"/>
      <c r="K21" s="9"/>
      <c r="L21" s="9"/>
      <c r="M21" s="9"/>
      <c r="N21" s="9"/>
      <c r="O21" s="9"/>
      <c r="P21" s="9"/>
      <c r="Q21" s="9"/>
      <c r="R21" s="9"/>
      <c r="S21" s="10"/>
      <c r="T21" s="10"/>
      <c r="U21" s="10"/>
      <c r="V21" s="10"/>
      <c r="W21" s="10"/>
      <c r="X21" s="10"/>
      <c r="Z21" s="9"/>
      <c r="AA21" s="9"/>
      <c r="AB21" s="9"/>
      <c r="AC21" s="9"/>
    </row>
    <row r="22" spans="1:32">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row>
    <row r="23" spans="1:32">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row>
    <row r="24" spans="1:32">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row>
    <row r="25" spans="1:32">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row>
    <row r="26" spans="1:32">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row>
    <row r="27" spans="1:32">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row>
    <row r="28" spans="1:32">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row>
    <row r="29" spans="1:32">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row>
    <row r="30" spans="1:32">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row>
    <row r="31" spans="1:32">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row>
    <row r="32" spans="1:32">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row>
    <row r="33" spans="1:32">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row>
    <row r="34" spans="1:32">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row>
    <row r="35" spans="1:32">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row>
    <row r="36" spans="1:32">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row>
    <row r="37" spans="1:32">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row>
    <row r="38" spans="1:32">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row>
    <row r="39" spans="1:3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row>
    <row r="40" spans="1:32">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row>
    <row r="41" spans="1:32">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row>
    <row r="42" spans="1:32">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row>
    <row r="43" spans="1:32">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row>
    <row r="44" spans="1:32">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row>
    <row r="45" spans="1:32">
      <c r="A45" s="9"/>
    </row>
    <row r="46" spans="1:32">
      <c r="A46" s="9"/>
    </row>
  </sheetData>
  <mergeCells count="1">
    <mergeCell ref="A1:U1"/>
  </mergeCells>
  <phoneticPr fontId="2" type="noConversion"/>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93FD5-ED69-4363-A720-F992B255A154}">
  <dimension ref="A3:C4"/>
  <sheetViews>
    <sheetView workbookViewId="0">
      <selection activeCell="B11" sqref="B11"/>
    </sheetView>
  </sheetViews>
  <sheetFormatPr defaultRowHeight="15"/>
  <cols>
    <col min="1" max="1" width="13.42578125" bestFit="1" customWidth="1"/>
    <col min="2" max="2" width="14.7109375" bestFit="1" customWidth="1"/>
    <col min="3" max="3" width="15.42578125" bestFit="1" customWidth="1"/>
  </cols>
  <sheetData>
    <row r="3" spans="1:3">
      <c r="A3" s="4" t="s">
        <v>29</v>
      </c>
      <c r="B3" t="s">
        <v>27</v>
      </c>
      <c r="C3" t="s">
        <v>28</v>
      </c>
    </row>
    <row r="4" spans="1:3">
      <c r="A4" s="5" t="s">
        <v>30</v>
      </c>
      <c r="B4" s="14">
        <v>46933</v>
      </c>
      <c r="C4" s="14">
        <v>1159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9C21C-B509-40BC-BB53-735B2CEA1A8A}">
  <dimension ref="A3:B4"/>
  <sheetViews>
    <sheetView topLeftCell="A2" zoomScale="90" workbookViewId="0">
      <selection activeCell="M14" sqref="M14"/>
    </sheetView>
  </sheetViews>
  <sheetFormatPr defaultRowHeight="15"/>
  <cols>
    <col min="1" max="1" width="13.42578125" bestFit="1" customWidth="1"/>
    <col min="2" max="2" width="14.7109375" bestFit="1" customWidth="1"/>
  </cols>
  <sheetData>
    <row r="3" spans="1:2">
      <c r="A3" s="4" t="s">
        <v>29</v>
      </c>
      <c r="B3" t="s">
        <v>27</v>
      </c>
    </row>
    <row r="4" spans="1:2">
      <c r="A4" s="5" t="s">
        <v>32</v>
      </c>
      <c r="B4" s="14">
        <v>46933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3D528-A34F-45D2-9D9B-305B094BCEB7}">
  <dimension ref="A3:B6"/>
  <sheetViews>
    <sheetView workbookViewId="0">
      <selection activeCell="N7" sqref="N7"/>
    </sheetView>
  </sheetViews>
  <sheetFormatPr defaultRowHeight="15"/>
  <cols>
    <col min="1" max="1" width="13.42578125" bestFit="1" customWidth="1"/>
    <col min="2" max="2" width="15.42578125" bestFit="1" customWidth="1"/>
  </cols>
  <sheetData>
    <row r="3" spans="1:2">
      <c r="A3" s="4" t="s">
        <v>29</v>
      </c>
      <c r="B3" t="s">
        <v>28</v>
      </c>
    </row>
    <row r="4" spans="1:2">
      <c r="A4" s="5" t="s">
        <v>35</v>
      </c>
      <c r="B4" s="14">
        <v>64439</v>
      </c>
    </row>
    <row r="5" spans="1:2">
      <c r="A5" s="5" t="s">
        <v>36</v>
      </c>
      <c r="B5" s="14">
        <v>83298</v>
      </c>
    </row>
    <row r="6" spans="1:2">
      <c r="A6" s="5" t="s">
        <v>37</v>
      </c>
      <c r="B6" s="14">
        <v>72363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7CEF6-ACB9-4056-B293-66E359083F6F}">
  <dimension ref="A3:B8"/>
  <sheetViews>
    <sheetView workbookViewId="0">
      <selection activeCell="A3" sqref="A3:B8"/>
    </sheetView>
  </sheetViews>
  <sheetFormatPr defaultRowHeight="15"/>
  <cols>
    <col min="1" max="1" width="18.140625" bestFit="1" customWidth="1"/>
    <col min="2" max="2" width="14.7109375" bestFit="1" customWidth="1"/>
  </cols>
  <sheetData>
    <row r="3" spans="1:2">
      <c r="A3" s="4" t="s">
        <v>29</v>
      </c>
      <c r="B3" t="s">
        <v>27</v>
      </c>
    </row>
    <row r="4" spans="1:2">
      <c r="A4" s="5" t="s">
        <v>46</v>
      </c>
      <c r="B4" s="8">
        <v>280668</v>
      </c>
    </row>
    <row r="5" spans="1:2">
      <c r="A5" s="5" t="s">
        <v>45</v>
      </c>
      <c r="B5" s="8">
        <v>258289</v>
      </c>
    </row>
    <row r="6" spans="1:2">
      <c r="A6" s="5" t="s">
        <v>47</v>
      </c>
      <c r="B6" s="8">
        <v>229440</v>
      </c>
    </row>
    <row r="7" spans="1:2">
      <c r="A7" s="5" t="s">
        <v>44</v>
      </c>
      <c r="B7" s="8">
        <v>221481</v>
      </c>
    </row>
    <row r="8" spans="1:2">
      <c r="A8" s="5" t="s">
        <v>40</v>
      </c>
      <c r="B8" s="8">
        <v>216360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0E6A3-32E1-41FD-A852-0D11BF6D8826}">
  <dimension ref="A3:C7"/>
  <sheetViews>
    <sheetView workbookViewId="0">
      <selection activeCell="I20" sqref="I20"/>
    </sheetView>
  </sheetViews>
  <sheetFormatPr defaultRowHeight="15"/>
  <cols>
    <col min="1" max="1" width="15.42578125" bestFit="1" customWidth="1"/>
    <col min="2" max="2" width="16.85546875" bestFit="1" customWidth="1"/>
    <col min="3" max="3" width="7.140625" bestFit="1" customWidth="1"/>
    <col min="4" max="4" width="11.28515625" bestFit="1" customWidth="1"/>
  </cols>
  <sheetData>
    <row r="3" spans="1:3">
      <c r="A3" s="4" t="s">
        <v>28</v>
      </c>
      <c r="B3" s="4" t="s">
        <v>39</v>
      </c>
    </row>
    <row r="4" spans="1:3">
      <c r="A4" s="4" t="s">
        <v>29</v>
      </c>
      <c r="B4" t="s">
        <v>32</v>
      </c>
      <c r="C4" t="s">
        <v>33</v>
      </c>
    </row>
    <row r="5" spans="1:3">
      <c r="A5" s="5" t="s">
        <v>41</v>
      </c>
      <c r="B5" s="7">
        <v>0.43855520218082689</v>
      </c>
      <c r="C5" s="7">
        <v>0.48234438891412995</v>
      </c>
    </row>
    <row r="6" spans="1:3">
      <c r="A6" s="5" t="s">
        <v>42</v>
      </c>
      <c r="B6" s="7">
        <v>2.0472512494320763E-2</v>
      </c>
      <c r="C6" s="7">
        <v>0</v>
      </c>
    </row>
    <row r="7" spans="1:3">
      <c r="A7" s="5" t="s">
        <v>43</v>
      </c>
      <c r="B7" s="7">
        <v>2.9159472966833258E-2</v>
      </c>
      <c r="C7" s="7">
        <v>2.9468423443889141E-2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15E27-A85C-4681-8262-720715F6BF44}">
  <dimension ref="A1:O201"/>
  <sheetViews>
    <sheetView workbookViewId="0">
      <selection sqref="A1:O201"/>
    </sheetView>
  </sheetViews>
  <sheetFormatPr defaultRowHeight="15"/>
  <cols>
    <col min="1" max="1" width="11.7109375" customWidth="1"/>
    <col min="2" max="3" width="15.5703125" customWidth="1"/>
    <col min="4" max="4" width="15.140625" customWidth="1"/>
    <col min="5" max="5" width="11.85546875" customWidth="1"/>
    <col min="8" max="8" width="12.7109375" customWidth="1"/>
    <col min="9" max="9" width="11.140625" customWidth="1"/>
    <col min="10" max="11" width="12.140625" customWidth="1"/>
    <col min="12" max="12" width="12.42578125" customWidth="1"/>
    <col min="13" max="13" width="9.5703125" customWidth="1"/>
    <col min="14" max="14" width="11.140625" customWidth="1"/>
    <col min="15" max="15" width="14.140625" customWidth="1"/>
  </cols>
  <sheetData>
    <row r="1" spans="1:15">
      <c r="A1" s="2" t="s">
        <v>0</v>
      </c>
      <c r="B1" s="2" t="s">
        <v>1</v>
      </c>
      <c r="C1" s="2" t="s">
        <v>25</v>
      </c>
      <c r="D1" s="2" t="s">
        <v>2</v>
      </c>
      <c r="E1" s="2" t="s">
        <v>3</v>
      </c>
      <c r="F1" s="2" t="s">
        <v>4</v>
      </c>
      <c r="G1" s="2" t="s">
        <v>26</v>
      </c>
      <c r="H1" s="2" t="s">
        <v>5</v>
      </c>
      <c r="I1" s="2" t="s">
        <v>6</v>
      </c>
      <c r="J1" s="2" t="s">
        <v>7</v>
      </c>
      <c r="K1" s="2" t="s">
        <v>38</v>
      </c>
      <c r="L1" s="2" t="s">
        <v>22</v>
      </c>
      <c r="M1" s="2" t="s">
        <v>23</v>
      </c>
      <c r="N1" s="2" t="s">
        <v>24</v>
      </c>
      <c r="O1" s="2" t="s">
        <v>34</v>
      </c>
    </row>
    <row r="2" spans="1:15">
      <c r="A2" s="2">
        <v>1001</v>
      </c>
      <c r="B2" s="1">
        <v>46080</v>
      </c>
      <c r="C2" s="1" t="str">
        <f>TEXT(B2,"mmm")</f>
        <v>Feb</v>
      </c>
      <c r="D2" s="2" t="s">
        <v>8</v>
      </c>
      <c r="E2" s="2" t="s">
        <v>9</v>
      </c>
      <c r="F2" s="2">
        <v>1</v>
      </c>
      <c r="G2" s="2">
        <f ca="1">RANDBETWEEN(500,50000)</f>
        <v>38064</v>
      </c>
      <c r="H2" s="2">
        <v>1063</v>
      </c>
      <c r="I2" s="2">
        <v>275</v>
      </c>
      <c r="J2" s="2" t="s">
        <v>10</v>
      </c>
      <c r="K2" s="2" t="str">
        <f>CHOOSE(MOD(ROW()-2,28)+1,"Andhra Pradesh","Arunachal Pradesh","Assam","Bihar","Chhattisgarh","Goa","Gujarat","Haryana","Himachal Pradesh","Jharkhand","Karnataka","Kerala","Madhya Pradesh","Maharashtra","Manipur","Meghalaya","Mizoram","Nagaland","Odisha","Punjab","Rajasthan","Sikkim","Tamil Nadu","Telangana","Tripura","Uttar Pradesh","Uttarakhand","West Bengal")</f>
        <v>Andhra Pradesh</v>
      </c>
      <c r="L2" s="3" t="str">
        <f ca="1">IF(RAND()&lt;0.5,"Male","Female")</f>
        <v>Female</v>
      </c>
      <c r="M2">
        <f ca="1">RANDBETWEEN(18,60)</f>
        <v>50</v>
      </c>
      <c r="N2" s="2" t="str">
        <f ca="1">IF(M2&lt;20,"Teenager",IF(M2&lt;60,"Adult","Senior"))</f>
        <v>Adult</v>
      </c>
      <c r="O2" t="str">
        <f ca="1">CHOOSE(RANDBETWEEN(1,3),"Deliverd","Pending","Cancelled")</f>
        <v>Pending</v>
      </c>
    </row>
    <row r="3" spans="1:15">
      <c r="A3" s="2">
        <v>1002</v>
      </c>
      <c r="B3" s="1">
        <v>46131</v>
      </c>
      <c r="C3" s="1" t="str">
        <f t="shared" ref="C3:C66" si="0">TEXT(B3,"mmm")</f>
        <v>Apr</v>
      </c>
      <c r="D3" s="2" t="s">
        <v>8</v>
      </c>
      <c r="E3" s="2" t="s">
        <v>9</v>
      </c>
      <c r="F3" s="2">
        <v>9</v>
      </c>
      <c r="G3" s="2">
        <f t="shared" ref="G3:G66" ca="1" si="1">RANDBETWEEN(500,50000)</f>
        <v>37161</v>
      </c>
      <c r="H3" s="2">
        <v>6102</v>
      </c>
      <c r="I3" s="2">
        <v>4068</v>
      </c>
      <c r="J3" s="2" t="s">
        <v>11</v>
      </c>
      <c r="K3" s="2" t="str">
        <f t="shared" ref="K3:K66" si="2">CHOOSE(MOD(ROW()-2,28)+1,"Andhra Pradesh","Arunachal Pradesh","Assam","Bihar","Chhattisgarh","Goa","Gujarat","Haryana","Himachal Pradesh","Jharkhand","Karnataka","Kerala","Madhya Pradesh","Maharashtra","Manipur","Meghalaya","Mizoram","Nagaland","Odisha","Punjab","Rajasthan","Sikkim","Tamil Nadu","Telangana","Tripura","Uttar Pradesh","Uttarakhand","West Bengal")</f>
        <v>Arunachal Pradesh</v>
      </c>
      <c r="L3" s="3" t="str">
        <f t="shared" ref="L3:L66" ca="1" si="3">IF(RAND()&lt;0.5,"Male","Female")</f>
        <v>Female</v>
      </c>
      <c r="M3">
        <f t="shared" ref="M3:M66" ca="1" si="4">RANDBETWEEN(18,60)</f>
        <v>45</v>
      </c>
      <c r="N3" s="2" t="str">
        <f t="shared" ref="N3:N66" ca="1" si="5">IF(M3&lt;20,"Teenager",IF(M3&lt;60,"Adult","Senior"))</f>
        <v>Adult</v>
      </c>
      <c r="O3" t="str">
        <f t="shared" ref="O3:O66" ca="1" si="6">CHOOSE(RANDBETWEEN(1,3),"Deliverd","Pending","Cancelled")</f>
        <v>Deliverd</v>
      </c>
    </row>
    <row r="4" spans="1:15">
      <c r="A4" s="2">
        <v>1003</v>
      </c>
      <c r="B4" s="1">
        <v>46152</v>
      </c>
      <c r="C4" s="1" t="str">
        <f t="shared" si="0"/>
        <v>May</v>
      </c>
      <c r="D4" s="2" t="s">
        <v>12</v>
      </c>
      <c r="E4" s="2" t="s">
        <v>9</v>
      </c>
      <c r="F4" s="2">
        <v>2</v>
      </c>
      <c r="G4" s="2">
        <f t="shared" ca="1" si="1"/>
        <v>21806</v>
      </c>
      <c r="H4" s="2">
        <v>98656</v>
      </c>
      <c r="I4" s="2">
        <v>13810</v>
      </c>
      <c r="J4" s="2" t="s">
        <v>11</v>
      </c>
      <c r="K4" s="2" t="str">
        <f t="shared" si="2"/>
        <v>Assam</v>
      </c>
      <c r="L4" s="3" t="str">
        <f t="shared" ca="1" si="3"/>
        <v>Male</v>
      </c>
      <c r="M4">
        <f t="shared" ca="1" si="4"/>
        <v>29</v>
      </c>
      <c r="N4" s="2" t="str">
        <f t="shared" ca="1" si="5"/>
        <v>Adult</v>
      </c>
      <c r="O4" t="str">
        <f t="shared" ca="1" si="6"/>
        <v>Cancelled</v>
      </c>
    </row>
    <row r="5" spans="1:15">
      <c r="A5" s="2">
        <v>1004</v>
      </c>
      <c r="B5" s="1">
        <v>46137</v>
      </c>
      <c r="C5" s="1" t="str">
        <f t="shared" si="0"/>
        <v>Apr</v>
      </c>
      <c r="D5" s="2" t="s">
        <v>13</v>
      </c>
      <c r="E5" s="2" t="s">
        <v>9</v>
      </c>
      <c r="F5" s="2">
        <v>9</v>
      </c>
      <c r="G5" s="2">
        <f t="shared" ca="1" si="1"/>
        <v>34135</v>
      </c>
      <c r="H5" s="2">
        <v>195714</v>
      </c>
      <c r="I5" s="2">
        <v>29745</v>
      </c>
      <c r="J5" s="2" t="s">
        <v>14</v>
      </c>
      <c r="K5" s="2" t="str">
        <f t="shared" si="2"/>
        <v>Bihar</v>
      </c>
      <c r="L5" s="3" t="str">
        <f t="shared" ca="1" si="3"/>
        <v>Female</v>
      </c>
      <c r="M5">
        <f t="shared" ca="1" si="4"/>
        <v>27</v>
      </c>
      <c r="N5" s="2" t="str">
        <f t="shared" ca="1" si="5"/>
        <v>Adult</v>
      </c>
      <c r="O5" t="str">
        <f t="shared" ca="1" si="6"/>
        <v>Deliverd</v>
      </c>
    </row>
    <row r="6" spans="1:15">
      <c r="A6" s="2">
        <v>1005</v>
      </c>
      <c r="B6" s="1">
        <v>46094</v>
      </c>
      <c r="C6" s="1" t="str">
        <f t="shared" si="0"/>
        <v>Mar</v>
      </c>
      <c r="D6" s="2" t="s">
        <v>12</v>
      </c>
      <c r="E6" s="2" t="s">
        <v>9</v>
      </c>
      <c r="F6" s="2">
        <v>3</v>
      </c>
      <c r="G6" s="2">
        <f t="shared" ca="1" si="1"/>
        <v>48831</v>
      </c>
      <c r="H6" s="2">
        <v>188088</v>
      </c>
      <c r="I6" s="2">
        <v>23361</v>
      </c>
      <c r="J6" s="2" t="s">
        <v>10</v>
      </c>
      <c r="K6" s="2" t="str">
        <f t="shared" si="2"/>
        <v>Chhattisgarh</v>
      </c>
      <c r="L6" s="3" t="str">
        <f t="shared" ca="1" si="3"/>
        <v>Male</v>
      </c>
      <c r="M6">
        <f t="shared" ca="1" si="4"/>
        <v>49</v>
      </c>
      <c r="N6" s="2" t="str">
        <f t="shared" ca="1" si="5"/>
        <v>Adult</v>
      </c>
      <c r="O6" t="str">
        <f t="shared" ca="1" si="6"/>
        <v>Deliverd</v>
      </c>
    </row>
    <row r="7" spans="1:15">
      <c r="A7" s="2">
        <v>1006</v>
      </c>
      <c r="B7" s="1">
        <v>46120</v>
      </c>
      <c r="C7" s="1" t="str">
        <f t="shared" si="0"/>
        <v>Apr</v>
      </c>
      <c r="D7" s="2" t="s">
        <v>13</v>
      </c>
      <c r="E7" s="2" t="s">
        <v>9</v>
      </c>
      <c r="F7" s="2">
        <v>6</v>
      </c>
      <c r="G7" s="2">
        <f t="shared" ca="1" si="1"/>
        <v>19349</v>
      </c>
      <c r="H7" s="2">
        <v>68094</v>
      </c>
      <c r="I7" s="2">
        <v>13554</v>
      </c>
      <c r="J7" s="2" t="s">
        <v>11</v>
      </c>
      <c r="K7" s="2" t="str">
        <f t="shared" si="2"/>
        <v>Goa</v>
      </c>
      <c r="L7" s="3" t="str">
        <f t="shared" ca="1" si="3"/>
        <v>Female</v>
      </c>
      <c r="M7">
        <f t="shared" ca="1" si="4"/>
        <v>21</v>
      </c>
      <c r="N7" s="2" t="str">
        <f t="shared" ca="1" si="5"/>
        <v>Adult</v>
      </c>
      <c r="O7" t="str">
        <f t="shared" ca="1" si="6"/>
        <v>Deliverd</v>
      </c>
    </row>
    <row r="8" spans="1:15">
      <c r="A8" s="2">
        <v>1007</v>
      </c>
      <c r="B8" s="1">
        <v>46034</v>
      </c>
      <c r="C8" s="1" t="str">
        <f t="shared" si="0"/>
        <v>Jan</v>
      </c>
      <c r="D8" s="2" t="s">
        <v>15</v>
      </c>
      <c r="E8" s="2" t="s">
        <v>9</v>
      </c>
      <c r="F8" s="2">
        <v>6</v>
      </c>
      <c r="G8" s="2">
        <f t="shared" ca="1" si="1"/>
        <v>15501</v>
      </c>
      <c r="H8" s="2">
        <v>38670</v>
      </c>
      <c r="I8" s="2">
        <v>5046</v>
      </c>
      <c r="J8" s="2" t="s">
        <v>16</v>
      </c>
      <c r="K8" s="2" t="str">
        <f t="shared" si="2"/>
        <v>Gujarat</v>
      </c>
      <c r="L8" s="3" t="str">
        <f t="shared" ca="1" si="3"/>
        <v>Male</v>
      </c>
      <c r="M8">
        <f t="shared" ca="1" si="4"/>
        <v>53</v>
      </c>
      <c r="N8" s="2" t="str">
        <f t="shared" ca="1" si="5"/>
        <v>Adult</v>
      </c>
      <c r="O8" t="str">
        <f t="shared" ca="1" si="6"/>
        <v>Deliverd</v>
      </c>
    </row>
    <row r="9" spans="1:15">
      <c r="A9" s="2">
        <v>1008</v>
      </c>
      <c r="B9" s="1">
        <v>46098</v>
      </c>
      <c r="C9" s="1" t="str">
        <f t="shared" si="0"/>
        <v>Mar</v>
      </c>
      <c r="D9" s="2" t="s">
        <v>8</v>
      </c>
      <c r="E9" s="2" t="s">
        <v>9</v>
      </c>
      <c r="F9" s="2">
        <v>7</v>
      </c>
      <c r="G9" s="2">
        <f t="shared" ca="1" si="1"/>
        <v>2244</v>
      </c>
      <c r="H9" s="2">
        <v>4627</v>
      </c>
      <c r="I9" s="2">
        <v>3024</v>
      </c>
      <c r="J9" s="2" t="s">
        <v>14</v>
      </c>
      <c r="K9" s="2" t="str">
        <f t="shared" si="2"/>
        <v>Haryana</v>
      </c>
      <c r="L9" s="3" t="str">
        <f t="shared" ca="1" si="3"/>
        <v>Female</v>
      </c>
      <c r="M9">
        <f t="shared" ca="1" si="4"/>
        <v>31</v>
      </c>
      <c r="N9" s="2" t="str">
        <f t="shared" ca="1" si="5"/>
        <v>Adult</v>
      </c>
      <c r="O9" t="str">
        <f t="shared" ca="1" si="6"/>
        <v>Deliverd</v>
      </c>
    </row>
    <row r="10" spans="1:15">
      <c r="A10" s="2">
        <v>1009</v>
      </c>
      <c r="B10" s="1">
        <v>46097</v>
      </c>
      <c r="C10" s="1" t="str">
        <f t="shared" si="0"/>
        <v>Mar</v>
      </c>
      <c r="D10" s="2" t="s">
        <v>13</v>
      </c>
      <c r="E10" s="2" t="s">
        <v>9</v>
      </c>
      <c r="F10" s="2">
        <v>2</v>
      </c>
      <c r="G10" s="2">
        <f t="shared" ca="1" si="1"/>
        <v>32593</v>
      </c>
      <c r="H10" s="2">
        <v>19002</v>
      </c>
      <c r="I10" s="2">
        <v>6732</v>
      </c>
      <c r="J10" s="2" t="s">
        <v>11</v>
      </c>
      <c r="K10" s="2" t="str">
        <f t="shared" si="2"/>
        <v>Himachal Pradesh</v>
      </c>
      <c r="L10" s="3" t="str">
        <f t="shared" ca="1" si="3"/>
        <v>Male</v>
      </c>
      <c r="M10">
        <f t="shared" ca="1" si="4"/>
        <v>55</v>
      </c>
      <c r="N10" s="2" t="str">
        <f t="shared" ca="1" si="5"/>
        <v>Adult</v>
      </c>
      <c r="O10" t="str">
        <f t="shared" ca="1" si="6"/>
        <v>Deliverd</v>
      </c>
    </row>
    <row r="11" spans="1:15">
      <c r="A11" s="2">
        <v>1010</v>
      </c>
      <c r="B11" s="1">
        <v>46139</v>
      </c>
      <c r="C11" s="1" t="str">
        <f t="shared" si="0"/>
        <v>Apr</v>
      </c>
      <c r="D11" s="2" t="s">
        <v>13</v>
      </c>
      <c r="E11" s="2" t="s">
        <v>9</v>
      </c>
      <c r="F11" s="2">
        <v>2</v>
      </c>
      <c r="G11" s="2">
        <f t="shared" ca="1" si="1"/>
        <v>9393</v>
      </c>
      <c r="H11" s="2">
        <v>40910</v>
      </c>
      <c r="I11" s="2">
        <v>7554</v>
      </c>
      <c r="J11" s="2" t="s">
        <v>14</v>
      </c>
      <c r="K11" s="2" t="str">
        <f t="shared" si="2"/>
        <v>Jharkhand</v>
      </c>
      <c r="L11" s="3" t="str">
        <f t="shared" ca="1" si="3"/>
        <v>Female</v>
      </c>
      <c r="M11">
        <f t="shared" ca="1" si="4"/>
        <v>44</v>
      </c>
      <c r="N11" s="2" t="str">
        <f t="shared" ca="1" si="5"/>
        <v>Adult</v>
      </c>
      <c r="O11" t="str">
        <f t="shared" ca="1" si="6"/>
        <v>Deliverd</v>
      </c>
    </row>
    <row r="12" spans="1:15">
      <c r="A12" s="2">
        <v>1011</v>
      </c>
      <c r="B12" s="1">
        <v>46194</v>
      </c>
      <c r="C12" s="1" t="str">
        <f t="shared" si="0"/>
        <v>Jun</v>
      </c>
      <c r="D12" s="2" t="s">
        <v>17</v>
      </c>
      <c r="E12" s="2" t="s">
        <v>9</v>
      </c>
      <c r="F12" s="2">
        <v>6</v>
      </c>
      <c r="G12" s="2">
        <f t="shared" ca="1" si="1"/>
        <v>16502</v>
      </c>
      <c r="H12" s="2">
        <v>14730</v>
      </c>
      <c r="I12" s="2">
        <v>2784</v>
      </c>
      <c r="J12" s="2" t="s">
        <v>14</v>
      </c>
      <c r="K12" s="2" t="str">
        <f t="shared" si="2"/>
        <v>Karnataka</v>
      </c>
      <c r="L12" s="3" t="str">
        <f t="shared" ca="1" si="3"/>
        <v>Male</v>
      </c>
      <c r="M12">
        <f t="shared" ca="1" si="4"/>
        <v>28</v>
      </c>
      <c r="N12" s="2" t="str">
        <f t="shared" ca="1" si="5"/>
        <v>Adult</v>
      </c>
      <c r="O12" t="str">
        <f t="shared" ca="1" si="6"/>
        <v>Deliverd</v>
      </c>
    </row>
    <row r="13" spans="1:15">
      <c r="A13" s="2">
        <v>1012</v>
      </c>
      <c r="B13" s="1">
        <v>46159</v>
      </c>
      <c r="C13" s="1" t="str">
        <f t="shared" si="0"/>
        <v>May</v>
      </c>
      <c r="D13" s="2" t="s">
        <v>8</v>
      </c>
      <c r="E13" s="2" t="s">
        <v>9</v>
      </c>
      <c r="F13" s="2">
        <v>10</v>
      </c>
      <c r="G13" s="2">
        <f t="shared" ca="1" si="1"/>
        <v>26657</v>
      </c>
      <c r="H13" s="2">
        <v>18000</v>
      </c>
      <c r="I13" s="2">
        <v>2370</v>
      </c>
      <c r="J13" s="2" t="s">
        <v>10</v>
      </c>
      <c r="K13" s="2" t="str">
        <f t="shared" si="2"/>
        <v>Kerala</v>
      </c>
      <c r="L13" s="3" t="str">
        <f t="shared" ca="1" si="3"/>
        <v>Male</v>
      </c>
      <c r="M13">
        <f t="shared" ca="1" si="4"/>
        <v>18</v>
      </c>
      <c r="N13" s="2" t="str">
        <f t="shared" ca="1" si="5"/>
        <v>Teenager</v>
      </c>
      <c r="O13" t="str">
        <f t="shared" ca="1" si="6"/>
        <v>Deliverd</v>
      </c>
    </row>
    <row r="14" spans="1:15">
      <c r="A14" s="2">
        <v>1013</v>
      </c>
      <c r="B14" s="1">
        <v>46186</v>
      </c>
      <c r="C14" s="1" t="str">
        <f t="shared" si="0"/>
        <v>Jun</v>
      </c>
      <c r="D14" s="2" t="s">
        <v>17</v>
      </c>
      <c r="E14" s="2" t="s">
        <v>9</v>
      </c>
      <c r="F14" s="2">
        <v>8</v>
      </c>
      <c r="G14" s="2">
        <f t="shared" ca="1" si="1"/>
        <v>15555</v>
      </c>
      <c r="H14" s="2">
        <v>20432</v>
      </c>
      <c r="I14" s="2">
        <v>4208</v>
      </c>
      <c r="J14" s="2" t="s">
        <v>10</v>
      </c>
      <c r="K14" s="2" t="str">
        <f t="shared" si="2"/>
        <v>Madhya Pradesh</v>
      </c>
      <c r="L14" s="3" t="str">
        <f t="shared" ca="1" si="3"/>
        <v>Female</v>
      </c>
      <c r="M14">
        <f t="shared" ca="1" si="4"/>
        <v>60</v>
      </c>
      <c r="N14" s="2" t="str">
        <f t="shared" ca="1" si="5"/>
        <v>Senior</v>
      </c>
      <c r="O14" t="str">
        <f t="shared" ca="1" si="6"/>
        <v>Cancelled</v>
      </c>
    </row>
    <row r="15" spans="1:15">
      <c r="A15" s="2">
        <v>1014</v>
      </c>
      <c r="B15" s="1">
        <v>46103</v>
      </c>
      <c r="C15" s="1" t="str">
        <f t="shared" si="0"/>
        <v>Mar</v>
      </c>
      <c r="D15" s="2" t="s">
        <v>15</v>
      </c>
      <c r="E15" s="2" t="s">
        <v>9</v>
      </c>
      <c r="F15" s="2">
        <v>1</v>
      </c>
      <c r="G15" s="2">
        <f t="shared" ca="1" si="1"/>
        <v>1969</v>
      </c>
      <c r="H15" s="2">
        <v>3376</v>
      </c>
      <c r="I15" s="2">
        <v>365</v>
      </c>
      <c r="J15" s="2" t="s">
        <v>16</v>
      </c>
      <c r="K15" s="2" t="str">
        <f t="shared" si="2"/>
        <v>Maharashtra</v>
      </c>
      <c r="L15" s="3" t="str">
        <f t="shared" ca="1" si="3"/>
        <v>Male</v>
      </c>
      <c r="M15">
        <f t="shared" ca="1" si="4"/>
        <v>42</v>
      </c>
      <c r="N15" s="2" t="str">
        <f t="shared" ca="1" si="5"/>
        <v>Adult</v>
      </c>
      <c r="O15" t="str">
        <f t="shared" ca="1" si="6"/>
        <v>Pending</v>
      </c>
    </row>
    <row r="16" spans="1:15">
      <c r="A16" s="2">
        <v>1015</v>
      </c>
      <c r="B16" s="1">
        <v>46168</v>
      </c>
      <c r="C16" s="1" t="str">
        <f t="shared" si="0"/>
        <v>May</v>
      </c>
      <c r="D16" s="2" t="s">
        <v>18</v>
      </c>
      <c r="E16" s="2" t="s">
        <v>9</v>
      </c>
      <c r="F16" s="2">
        <v>2</v>
      </c>
      <c r="G16" s="2">
        <f t="shared" ca="1" si="1"/>
        <v>32094</v>
      </c>
      <c r="H16" s="2">
        <v>27826</v>
      </c>
      <c r="I16" s="2">
        <v>9880</v>
      </c>
      <c r="J16" s="2" t="s">
        <v>14</v>
      </c>
      <c r="K16" s="2" t="str">
        <f t="shared" si="2"/>
        <v>Manipur</v>
      </c>
      <c r="L16" s="3" t="str">
        <f t="shared" ca="1" si="3"/>
        <v>Female</v>
      </c>
      <c r="M16">
        <f t="shared" ca="1" si="4"/>
        <v>37</v>
      </c>
      <c r="N16" s="2" t="str">
        <f t="shared" ca="1" si="5"/>
        <v>Adult</v>
      </c>
      <c r="O16" t="str">
        <f t="shared" ca="1" si="6"/>
        <v>Pending</v>
      </c>
    </row>
    <row r="17" spans="1:15">
      <c r="A17" s="2">
        <v>1016</v>
      </c>
      <c r="B17" s="1">
        <v>46059</v>
      </c>
      <c r="C17" s="1" t="str">
        <f t="shared" si="0"/>
        <v>Feb</v>
      </c>
      <c r="D17" s="2" t="s">
        <v>13</v>
      </c>
      <c r="E17" s="2" t="s">
        <v>9</v>
      </c>
      <c r="F17" s="2">
        <v>8</v>
      </c>
      <c r="G17" s="2">
        <f t="shared" ca="1" si="1"/>
        <v>34747</v>
      </c>
      <c r="H17" s="2">
        <v>167712</v>
      </c>
      <c r="I17" s="2">
        <v>42064</v>
      </c>
      <c r="J17" s="2" t="s">
        <v>14</v>
      </c>
      <c r="K17" s="2" t="str">
        <f t="shared" si="2"/>
        <v>Meghalaya</v>
      </c>
      <c r="L17" s="3" t="str">
        <f t="shared" ca="1" si="3"/>
        <v>Male</v>
      </c>
      <c r="M17">
        <f t="shared" ca="1" si="4"/>
        <v>55</v>
      </c>
      <c r="N17" s="2" t="str">
        <f t="shared" ca="1" si="5"/>
        <v>Adult</v>
      </c>
      <c r="O17" t="str">
        <f t="shared" ca="1" si="6"/>
        <v>Deliverd</v>
      </c>
    </row>
    <row r="18" spans="1:15">
      <c r="A18" s="2">
        <v>1017</v>
      </c>
      <c r="B18" s="1">
        <v>46090</v>
      </c>
      <c r="C18" s="1" t="str">
        <f t="shared" si="0"/>
        <v>Mar</v>
      </c>
      <c r="D18" s="2" t="s">
        <v>17</v>
      </c>
      <c r="E18" s="2" t="s">
        <v>9</v>
      </c>
      <c r="F18" s="2">
        <v>4</v>
      </c>
      <c r="G18" s="2">
        <f t="shared" ca="1" si="1"/>
        <v>48561</v>
      </c>
      <c r="H18" s="2">
        <v>13196</v>
      </c>
      <c r="I18" s="2">
        <v>3204</v>
      </c>
      <c r="J18" s="2" t="s">
        <v>16</v>
      </c>
      <c r="K18" s="2" t="str">
        <f t="shared" si="2"/>
        <v>Mizoram</v>
      </c>
      <c r="L18" s="3" t="str">
        <f t="shared" ca="1" si="3"/>
        <v>Female</v>
      </c>
      <c r="M18">
        <f t="shared" ca="1" si="4"/>
        <v>58</v>
      </c>
      <c r="N18" s="2" t="str">
        <f t="shared" ca="1" si="5"/>
        <v>Adult</v>
      </c>
      <c r="O18" t="str">
        <f t="shared" ca="1" si="6"/>
        <v>Deliverd</v>
      </c>
    </row>
    <row r="19" spans="1:15">
      <c r="A19" s="2">
        <v>1018</v>
      </c>
      <c r="B19" s="1">
        <v>46153</v>
      </c>
      <c r="C19" s="1" t="str">
        <f t="shared" si="0"/>
        <v>May</v>
      </c>
      <c r="D19" s="2" t="s">
        <v>19</v>
      </c>
      <c r="E19" s="2" t="s">
        <v>20</v>
      </c>
      <c r="F19" s="2">
        <v>6</v>
      </c>
      <c r="G19" s="2">
        <f t="shared" ca="1" si="1"/>
        <v>23125</v>
      </c>
      <c r="H19" s="2">
        <v>51558</v>
      </c>
      <c r="I19" s="2">
        <v>9396</v>
      </c>
      <c r="J19" s="2" t="s">
        <v>16</v>
      </c>
      <c r="K19" s="2" t="str">
        <f t="shared" si="2"/>
        <v>Nagaland</v>
      </c>
      <c r="L19" s="3" t="str">
        <f t="shared" ca="1" si="3"/>
        <v>Female</v>
      </c>
      <c r="M19">
        <f t="shared" ca="1" si="4"/>
        <v>44</v>
      </c>
      <c r="N19" s="2" t="str">
        <f t="shared" ca="1" si="5"/>
        <v>Adult</v>
      </c>
      <c r="O19" t="str">
        <f t="shared" ca="1" si="6"/>
        <v>Pending</v>
      </c>
    </row>
    <row r="20" spans="1:15">
      <c r="A20" s="2">
        <v>1019</v>
      </c>
      <c r="B20" s="1">
        <v>46183</v>
      </c>
      <c r="C20" s="1" t="str">
        <f t="shared" si="0"/>
        <v>Jun</v>
      </c>
      <c r="D20" s="2" t="s">
        <v>8</v>
      </c>
      <c r="E20" s="2" t="s">
        <v>9</v>
      </c>
      <c r="F20" s="2">
        <v>1</v>
      </c>
      <c r="G20" s="2">
        <f t="shared" ca="1" si="1"/>
        <v>43234</v>
      </c>
      <c r="H20" s="2">
        <v>724</v>
      </c>
      <c r="I20" s="2">
        <v>228</v>
      </c>
      <c r="J20" s="2" t="s">
        <v>10</v>
      </c>
      <c r="K20" s="2" t="str">
        <f t="shared" si="2"/>
        <v>Odisha</v>
      </c>
      <c r="L20" s="3" t="str">
        <f t="shared" ca="1" si="3"/>
        <v>Male</v>
      </c>
      <c r="M20">
        <f t="shared" ca="1" si="4"/>
        <v>23</v>
      </c>
      <c r="N20" s="2" t="str">
        <f t="shared" ca="1" si="5"/>
        <v>Adult</v>
      </c>
      <c r="O20" t="str">
        <f t="shared" ca="1" si="6"/>
        <v>Cancelled</v>
      </c>
    </row>
    <row r="21" spans="1:15">
      <c r="A21" s="2">
        <v>1020</v>
      </c>
      <c r="B21" s="1">
        <v>46120</v>
      </c>
      <c r="C21" s="1" t="str">
        <f t="shared" si="0"/>
        <v>Apr</v>
      </c>
      <c r="D21" s="2" t="s">
        <v>19</v>
      </c>
      <c r="E21" s="2" t="s">
        <v>20</v>
      </c>
      <c r="F21" s="2">
        <v>10</v>
      </c>
      <c r="G21" s="2">
        <f t="shared" ca="1" si="1"/>
        <v>16353</v>
      </c>
      <c r="H21" s="2">
        <v>60400</v>
      </c>
      <c r="I21" s="2">
        <v>25760</v>
      </c>
      <c r="J21" s="2" t="s">
        <v>16</v>
      </c>
      <c r="K21" s="2" t="str">
        <f t="shared" si="2"/>
        <v>Punjab</v>
      </c>
      <c r="L21" s="3" t="str">
        <f t="shared" ca="1" si="3"/>
        <v>Male</v>
      </c>
      <c r="M21">
        <f t="shared" ca="1" si="4"/>
        <v>40</v>
      </c>
      <c r="N21" s="2" t="str">
        <f t="shared" ca="1" si="5"/>
        <v>Adult</v>
      </c>
      <c r="O21" t="str">
        <f t="shared" ca="1" si="6"/>
        <v>Pending</v>
      </c>
    </row>
    <row r="22" spans="1:15">
      <c r="A22" s="2">
        <v>1021</v>
      </c>
      <c r="B22" s="1">
        <v>46052</v>
      </c>
      <c r="C22" s="1" t="str">
        <f t="shared" si="0"/>
        <v>Jan</v>
      </c>
      <c r="D22" s="2" t="s">
        <v>18</v>
      </c>
      <c r="E22" s="2" t="s">
        <v>9</v>
      </c>
      <c r="F22" s="2">
        <v>9</v>
      </c>
      <c r="G22" s="2">
        <f t="shared" ca="1" si="1"/>
        <v>22294</v>
      </c>
      <c r="H22" s="2">
        <v>66384</v>
      </c>
      <c r="I22" s="2">
        <v>35874</v>
      </c>
      <c r="J22" s="2" t="s">
        <v>14</v>
      </c>
      <c r="K22" s="2" t="str">
        <f t="shared" si="2"/>
        <v>Rajasthan</v>
      </c>
      <c r="L22" s="3" t="str">
        <f t="shared" ca="1" si="3"/>
        <v>Female</v>
      </c>
      <c r="M22">
        <f t="shared" ca="1" si="4"/>
        <v>25</v>
      </c>
      <c r="N22" s="2" t="str">
        <f t="shared" ca="1" si="5"/>
        <v>Adult</v>
      </c>
      <c r="O22" t="str">
        <f t="shared" ca="1" si="6"/>
        <v>Pending</v>
      </c>
    </row>
    <row r="23" spans="1:15">
      <c r="A23" s="2">
        <v>1022</v>
      </c>
      <c r="B23" s="1">
        <v>46063</v>
      </c>
      <c r="C23" s="1" t="str">
        <f t="shared" si="0"/>
        <v>Feb</v>
      </c>
      <c r="D23" s="2" t="s">
        <v>15</v>
      </c>
      <c r="E23" s="2" t="s">
        <v>9</v>
      </c>
      <c r="F23" s="2">
        <v>2</v>
      </c>
      <c r="G23" s="2">
        <f t="shared" ca="1" si="1"/>
        <v>44253</v>
      </c>
      <c r="H23" s="2">
        <v>7808</v>
      </c>
      <c r="I23" s="2">
        <v>2380</v>
      </c>
      <c r="J23" s="2" t="s">
        <v>16</v>
      </c>
      <c r="K23" s="2" t="str">
        <f t="shared" si="2"/>
        <v>Sikkim</v>
      </c>
      <c r="L23" s="3" t="str">
        <f t="shared" ca="1" si="3"/>
        <v>Male</v>
      </c>
      <c r="M23">
        <f t="shared" ca="1" si="4"/>
        <v>21</v>
      </c>
      <c r="N23" s="2" t="str">
        <f t="shared" ca="1" si="5"/>
        <v>Adult</v>
      </c>
      <c r="O23" t="str">
        <f t="shared" ca="1" si="6"/>
        <v>Pending</v>
      </c>
    </row>
    <row r="24" spans="1:15">
      <c r="A24" s="2">
        <v>1023</v>
      </c>
      <c r="B24" s="1">
        <v>46068</v>
      </c>
      <c r="C24" s="1" t="str">
        <f t="shared" si="0"/>
        <v>Feb</v>
      </c>
      <c r="D24" s="2" t="s">
        <v>12</v>
      </c>
      <c r="E24" s="2" t="s">
        <v>9</v>
      </c>
      <c r="F24" s="2">
        <v>5</v>
      </c>
      <c r="G24" s="2">
        <f t="shared" ca="1" si="1"/>
        <v>4809</v>
      </c>
      <c r="H24" s="2">
        <v>339030</v>
      </c>
      <c r="I24" s="2">
        <v>56205</v>
      </c>
      <c r="J24" s="2" t="s">
        <v>11</v>
      </c>
      <c r="K24" s="2" t="str">
        <f t="shared" si="2"/>
        <v>Tamil Nadu</v>
      </c>
      <c r="L24" s="3" t="str">
        <f t="shared" ca="1" si="3"/>
        <v>Male</v>
      </c>
      <c r="M24">
        <f t="shared" ca="1" si="4"/>
        <v>57</v>
      </c>
      <c r="N24" s="2" t="str">
        <f t="shared" ca="1" si="5"/>
        <v>Adult</v>
      </c>
      <c r="O24" t="str">
        <f t="shared" ca="1" si="6"/>
        <v>Cancelled</v>
      </c>
    </row>
    <row r="25" spans="1:15">
      <c r="A25" s="2">
        <v>1024</v>
      </c>
      <c r="B25" s="1">
        <v>46118</v>
      </c>
      <c r="C25" s="1" t="str">
        <f t="shared" si="0"/>
        <v>Apr</v>
      </c>
      <c r="D25" s="2" t="s">
        <v>18</v>
      </c>
      <c r="E25" s="2" t="s">
        <v>9</v>
      </c>
      <c r="F25" s="2">
        <v>9</v>
      </c>
      <c r="G25" s="2">
        <f t="shared" ca="1" si="1"/>
        <v>12869</v>
      </c>
      <c r="H25" s="2">
        <v>121653</v>
      </c>
      <c r="I25" s="2">
        <v>16434</v>
      </c>
      <c r="J25" s="2" t="s">
        <v>10</v>
      </c>
      <c r="K25" s="2" t="str">
        <f t="shared" si="2"/>
        <v>Telangana</v>
      </c>
      <c r="L25" s="3" t="str">
        <f t="shared" ca="1" si="3"/>
        <v>Female</v>
      </c>
      <c r="M25">
        <f t="shared" ca="1" si="4"/>
        <v>51</v>
      </c>
      <c r="N25" s="2" t="str">
        <f t="shared" ca="1" si="5"/>
        <v>Adult</v>
      </c>
      <c r="O25" t="str">
        <f t="shared" ca="1" si="6"/>
        <v>Cancelled</v>
      </c>
    </row>
    <row r="26" spans="1:15">
      <c r="A26" s="2">
        <v>1025</v>
      </c>
      <c r="B26" s="1">
        <v>46027</v>
      </c>
      <c r="C26" s="1" t="str">
        <f t="shared" si="0"/>
        <v>Jan</v>
      </c>
      <c r="D26" s="2" t="s">
        <v>12</v>
      </c>
      <c r="E26" s="2" t="s">
        <v>9</v>
      </c>
      <c r="F26" s="2">
        <v>10</v>
      </c>
      <c r="G26" s="2">
        <f t="shared" ca="1" si="1"/>
        <v>22863</v>
      </c>
      <c r="H26" s="2">
        <v>562430</v>
      </c>
      <c r="I26" s="2">
        <v>90020</v>
      </c>
      <c r="J26" s="2" t="s">
        <v>11</v>
      </c>
      <c r="K26" s="2" t="str">
        <f t="shared" si="2"/>
        <v>Tripura</v>
      </c>
      <c r="L26" s="3" t="str">
        <f t="shared" ca="1" si="3"/>
        <v>Male</v>
      </c>
      <c r="M26">
        <f t="shared" ca="1" si="4"/>
        <v>20</v>
      </c>
      <c r="N26" s="2" t="str">
        <f t="shared" ca="1" si="5"/>
        <v>Adult</v>
      </c>
      <c r="O26" t="str">
        <f t="shared" ca="1" si="6"/>
        <v>Deliverd</v>
      </c>
    </row>
    <row r="27" spans="1:15">
      <c r="A27" s="2">
        <v>1026</v>
      </c>
      <c r="B27" s="1">
        <v>46084</v>
      </c>
      <c r="C27" s="1" t="str">
        <f t="shared" si="0"/>
        <v>Mar</v>
      </c>
      <c r="D27" s="2" t="s">
        <v>15</v>
      </c>
      <c r="E27" s="2" t="s">
        <v>9</v>
      </c>
      <c r="F27" s="2">
        <v>5</v>
      </c>
      <c r="G27" s="2">
        <f t="shared" ca="1" si="1"/>
        <v>46708</v>
      </c>
      <c r="H27" s="2">
        <v>17305</v>
      </c>
      <c r="I27" s="2">
        <v>2090</v>
      </c>
      <c r="J27" s="2" t="s">
        <v>11</v>
      </c>
      <c r="K27" s="2" t="str">
        <f t="shared" si="2"/>
        <v>Uttar Pradesh</v>
      </c>
      <c r="L27" s="3" t="str">
        <f t="shared" ca="1" si="3"/>
        <v>Female</v>
      </c>
      <c r="M27">
        <f t="shared" ca="1" si="4"/>
        <v>47</v>
      </c>
      <c r="N27" s="2" t="str">
        <f t="shared" ca="1" si="5"/>
        <v>Adult</v>
      </c>
      <c r="O27" t="str">
        <f t="shared" ca="1" si="6"/>
        <v>Pending</v>
      </c>
    </row>
    <row r="28" spans="1:15">
      <c r="A28" s="2">
        <v>1027</v>
      </c>
      <c r="B28" s="1">
        <v>46159</v>
      </c>
      <c r="C28" s="1" t="str">
        <f t="shared" si="0"/>
        <v>May</v>
      </c>
      <c r="D28" s="2" t="s">
        <v>8</v>
      </c>
      <c r="E28" s="2" t="s">
        <v>9</v>
      </c>
      <c r="F28" s="2">
        <v>8</v>
      </c>
      <c r="G28" s="2">
        <f t="shared" ca="1" si="1"/>
        <v>22163</v>
      </c>
      <c r="H28" s="2">
        <v>5128</v>
      </c>
      <c r="I28" s="2">
        <v>4312</v>
      </c>
      <c r="J28" s="2" t="s">
        <v>10</v>
      </c>
      <c r="K28" s="2" t="str">
        <f t="shared" si="2"/>
        <v>Uttarakhand</v>
      </c>
      <c r="L28" s="3" t="str">
        <f t="shared" ca="1" si="3"/>
        <v>Male</v>
      </c>
      <c r="M28">
        <f t="shared" ca="1" si="4"/>
        <v>54</v>
      </c>
      <c r="N28" s="2" t="str">
        <f t="shared" ca="1" si="5"/>
        <v>Adult</v>
      </c>
      <c r="O28" t="str">
        <f t="shared" ca="1" si="6"/>
        <v>Deliverd</v>
      </c>
    </row>
    <row r="29" spans="1:15">
      <c r="A29" s="2">
        <v>1028</v>
      </c>
      <c r="B29" s="1">
        <v>46090</v>
      </c>
      <c r="C29" s="1" t="str">
        <f t="shared" si="0"/>
        <v>Mar</v>
      </c>
      <c r="D29" s="2" t="s">
        <v>17</v>
      </c>
      <c r="E29" s="2" t="s">
        <v>9</v>
      </c>
      <c r="F29" s="2">
        <v>8</v>
      </c>
      <c r="G29" s="2">
        <f t="shared" ca="1" si="1"/>
        <v>2456</v>
      </c>
      <c r="H29" s="2">
        <v>26008</v>
      </c>
      <c r="I29" s="2">
        <v>3352</v>
      </c>
      <c r="J29" s="2" t="s">
        <v>16</v>
      </c>
      <c r="K29" s="2" t="str">
        <f t="shared" si="2"/>
        <v>West Bengal</v>
      </c>
      <c r="L29" s="3" t="str">
        <f t="shared" ca="1" si="3"/>
        <v>Male</v>
      </c>
      <c r="M29">
        <f t="shared" ca="1" si="4"/>
        <v>54</v>
      </c>
      <c r="N29" s="2" t="str">
        <f t="shared" ca="1" si="5"/>
        <v>Adult</v>
      </c>
      <c r="O29" t="str">
        <f t="shared" ca="1" si="6"/>
        <v>Pending</v>
      </c>
    </row>
    <row r="30" spans="1:15">
      <c r="A30" s="2">
        <v>1029</v>
      </c>
      <c r="B30" s="1">
        <v>46125</v>
      </c>
      <c r="C30" s="1" t="str">
        <f t="shared" si="0"/>
        <v>Apr</v>
      </c>
      <c r="D30" s="2" t="s">
        <v>13</v>
      </c>
      <c r="E30" s="2" t="s">
        <v>9</v>
      </c>
      <c r="F30" s="2">
        <v>9</v>
      </c>
      <c r="G30" s="2">
        <f t="shared" ca="1" si="1"/>
        <v>47759</v>
      </c>
      <c r="H30" s="2">
        <v>131319</v>
      </c>
      <c r="I30" s="2">
        <v>36477</v>
      </c>
      <c r="J30" s="2" t="s">
        <v>14</v>
      </c>
      <c r="K30" s="2" t="str">
        <f t="shared" si="2"/>
        <v>Andhra Pradesh</v>
      </c>
      <c r="L30" s="3" t="str">
        <f t="shared" ca="1" si="3"/>
        <v>Female</v>
      </c>
      <c r="M30">
        <f t="shared" ca="1" si="4"/>
        <v>40</v>
      </c>
      <c r="N30" s="2" t="str">
        <f t="shared" ca="1" si="5"/>
        <v>Adult</v>
      </c>
      <c r="O30" t="str">
        <f t="shared" ca="1" si="6"/>
        <v>Cancelled</v>
      </c>
    </row>
    <row r="31" spans="1:15">
      <c r="A31" s="2">
        <v>1030</v>
      </c>
      <c r="B31" s="1">
        <v>46086</v>
      </c>
      <c r="C31" s="1" t="str">
        <f t="shared" si="0"/>
        <v>Mar</v>
      </c>
      <c r="D31" s="2" t="s">
        <v>21</v>
      </c>
      <c r="E31" s="2" t="s">
        <v>20</v>
      </c>
      <c r="F31" s="2">
        <v>9</v>
      </c>
      <c r="G31" s="2">
        <f t="shared" ca="1" si="1"/>
        <v>42317</v>
      </c>
      <c r="H31" s="2">
        <v>129573</v>
      </c>
      <c r="I31" s="2">
        <v>15255</v>
      </c>
      <c r="J31" s="2" t="s">
        <v>10</v>
      </c>
      <c r="K31" s="2" t="str">
        <f t="shared" si="2"/>
        <v>Arunachal Pradesh</v>
      </c>
      <c r="L31" s="3" t="str">
        <f t="shared" ca="1" si="3"/>
        <v>Male</v>
      </c>
      <c r="M31">
        <f t="shared" ca="1" si="4"/>
        <v>60</v>
      </c>
      <c r="N31" s="2" t="str">
        <f t="shared" ca="1" si="5"/>
        <v>Senior</v>
      </c>
      <c r="O31" t="str">
        <f t="shared" ca="1" si="6"/>
        <v>Pending</v>
      </c>
    </row>
    <row r="32" spans="1:15">
      <c r="A32" s="2">
        <v>1031</v>
      </c>
      <c r="B32" s="1">
        <v>46164</v>
      </c>
      <c r="C32" s="1" t="str">
        <f t="shared" si="0"/>
        <v>May</v>
      </c>
      <c r="D32" s="2" t="s">
        <v>8</v>
      </c>
      <c r="E32" s="2" t="s">
        <v>9</v>
      </c>
      <c r="F32" s="2">
        <v>6</v>
      </c>
      <c r="G32" s="2">
        <f t="shared" ca="1" si="1"/>
        <v>33485</v>
      </c>
      <c r="H32" s="2">
        <v>3258</v>
      </c>
      <c r="I32" s="2">
        <v>2706</v>
      </c>
      <c r="J32" s="2" t="s">
        <v>10</v>
      </c>
      <c r="K32" s="2" t="str">
        <f t="shared" si="2"/>
        <v>Assam</v>
      </c>
      <c r="L32" s="3" t="str">
        <f t="shared" ca="1" si="3"/>
        <v>Male</v>
      </c>
      <c r="M32">
        <f t="shared" ca="1" si="4"/>
        <v>42</v>
      </c>
      <c r="N32" s="2" t="str">
        <f t="shared" ca="1" si="5"/>
        <v>Adult</v>
      </c>
      <c r="O32" t="str">
        <f t="shared" ca="1" si="6"/>
        <v>Deliverd</v>
      </c>
    </row>
    <row r="33" spans="1:15">
      <c r="A33" s="2">
        <v>1032</v>
      </c>
      <c r="B33" s="1">
        <v>46081</v>
      </c>
      <c r="C33" s="1" t="str">
        <f t="shared" si="0"/>
        <v>Feb</v>
      </c>
      <c r="D33" s="2" t="s">
        <v>13</v>
      </c>
      <c r="E33" s="2" t="s">
        <v>9</v>
      </c>
      <c r="F33" s="2">
        <v>1</v>
      </c>
      <c r="G33" s="2">
        <f t="shared" ca="1" si="1"/>
        <v>39806</v>
      </c>
      <c r="H33" s="2">
        <v>10326</v>
      </c>
      <c r="I33" s="2">
        <v>1982</v>
      </c>
      <c r="J33" s="2" t="s">
        <v>11</v>
      </c>
      <c r="K33" s="2" t="str">
        <f t="shared" si="2"/>
        <v>Bihar</v>
      </c>
      <c r="L33" s="3" t="str">
        <f t="shared" ca="1" si="3"/>
        <v>Male</v>
      </c>
      <c r="M33">
        <f t="shared" ca="1" si="4"/>
        <v>20</v>
      </c>
      <c r="N33" s="2" t="str">
        <f t="shared" ca="1" si="5"/>
        <v>Adult</v>
      </c>
      <c r="O33" t="str">
        <f t="shared" ca="1" si="6"/>
        <v>Cancelled</v>
      </c>
    </row>
    <row r="34" spans="1:15">
      <c r="A34" s="2">
        <v>1033</v>
      </c>
      <c r="B34" s="1">
        <v>46083</v>
      </c>
      <c r="C34" s="1" t="str">
        <f t="shared" si="0"/>
        <v>Mar</v>
      </c>
      <c r="D34" s="2" t="s">
        <v>12</v>
      </c>
      <c r="E34" s="2" t="s">
        <v>9</v>
      </c>
      <c r="F34" s="2">
        <v>6</v>
      </c>
      <c r="G34" s="2">
        <f t="shared" ca="1" si="1"/>
        <v>45694</v>
      </c>
      <c r="H34" s="2">
        <v>237858</v>
      </c>
      <c r="I34" s="2">
        <v>55266</v>
      </c>
      <c r="J34" s="2" t="s">
        <v>14</v>
      </c>
      <c r="K34" s="2" t="str">
        <f t="shared" si="2"/>
        <v>Chhattisgarh</v>
      </c>
      <c r="L34" s="3" t="str">
        <f t="shared" ca="1" si="3"/>
        <v>Male</v>
      </c>
      <c r="M34">
        <f t="shared" ca="1" si="4"/>
        <v>30</v>
      </c>
      <c r="N34" s="2" t="str">
        <f t="shared" ca="1" si="5"/>
        <v>Adult</v>
      </c>
      <c r="O34" t="str">
        <f t="shared" ca="1" si="6"/>
        <v>Cancelled</v>
      </c>
    </row>
    <row r="35" spans="1:15">
      <c r="A35" s="2">
        <v>1034</v>
      </c>
      <c r="B35" s="1">
        <v>46169</v>
      </c>
      <c r="C35" s="1" t="str">
        <f t="shared" si="0"/>
        <v>May</v>
      </c>
      <c r="D35" s="2" t="s">
        <v>21</v>
      </c>
      <c r="E35" s="2" t="s">
        <v>20</v>
      </c>
      <c r="F35" s="2">
        <v>4</v>
      </c>
      <c r="G35" s="2">
        <f t="shared" ca="1" si="1"/>
        <v>14080</v>
      </c>
      <c r="H35" s="2">
        <v>63336</v>
      </c>
      <c r="I35" s="2">
        <v>6964</v>
      </c>
      <c r="J35" s="2" t="s">
        <v>16</v>
      </c>
      <c r="K35" s="2" t="str">
        <f t="shared" si="2"/>
        <v>Goa</v>
      </c>
      <c r="L35" s="3" t="str">
        <f t="shared" ca="1" si="3"/>
        <v>Female</v>
      </c>
      <c r="M35">
        <f t="shared" ca="1" si="4"/>
        <v>19</v>
      </c>
      <c r="N35" s="2" t="str">
        <f t="shared" ca="1" si="5"/>
        <v>Teenager</v>
      </c>
      <c r="O35" t="str">
        <f t="shared" ca="1" si="6"/>
        <v>Cancelled</v>
      </c>
    </row>
    <row r="36" spans="1:15">
      <c r="A36" s="2">
        <v>1035</v>
      </c>
      <c r="B36" s="1">
        <v>46047</v>
      </c>
      <c r="C36" s="1" t="str">
        <f t="shared" si="0"/>
        <v>Jan</v>
      </c>
      <c r="D36" s="2" t="s">
        <v>13</v>
      </c>
      <c r="E36" s="2" t="s">
        <v>9</v>
      </c>
      <c r="F36" s="2">
        <v>8</v>
      </c>
      <c r="G36" s="2">
        <f t="shared" ca="1" si="1"/>
        <v>29224</v>
      </c>
      <c r="H36" s="2">
        <v>170704</v>
      </c>
      <c r="I36" s="2">
        <v>24472</v>
      </c>
      <c r="J36" s="2" t="s">
        <v>11</v>
      </c>
      <c r="K36" s="2" t="str">
        <f t="shared" si="2"/>
        <v>Gujarat</v>
      </c>
      <c r="L36" s="3" t="str">
        <f t="shared" ca="1" si="3"/>
        <v>Male</v>
      </c>
      <c r="M36">
        <f t="shared" ca="1" si="4"/>
        <v>36</v>
      </c>
      <c r="N36" s="2" t="str">
        <f t="shared" ca="1" si="5"/>
        <v>Adult</v>
      </c>
      <c r="O36" t="str">
        <f t="shared" ca="1" si="6"/>
        <v>Pending</v>
      </c>
    </row>
    <row r="37" spans="1:15">
      <c r="A37" s="2">
        <v>1036</v>
      </c>
      <c r="B37" s="1">
        <v>46142</v>
      </c>
      <c r="C37" s="1" t="str">
        <f t="shared" si="0"/>
        <v>Apr</v>
      </c>
      <c r="D37" s="2" t="s">
        <v>19</v>
      </c>
      <c r="E37" s="2" t="s">
        <v>20</v>
      </c>
      <c r="F37" s="2">
        <v>6</v>
      </c>
      <c r="G37" s="2">
        <f t="shared" ca="1" si="1"/>
        <v>46311</v>
      </c>
      <c r="H37" s="2">
        <v>71634</v>
      </c>
      <c r="I37" s="2">
        <v>16098</v>
      </c>
      <c r="J37" s="2" t="s">
        <v>11</v>
      </c>
      <c r="K37" s="2" t="str">
        <f t="shared" si="2"/>
        <v>Haryana</v>
      </c>
      <c r="L37" s="3" t="str">
        <f t="shared" ca="1" si="3"/>
        <v>Male</v>
      </c>
      <c r="M37">
        <f t="shared" ca="1" si="4"/>
        <v>43</v>
      </c>
      <c r="N37" s="2" t="str">
        <f t="shared" ca="1" si="5"/>
        <v>Adult</v>
      </c>
      <c r="O37" t="str">
        <f t="shared" ca="1" si="6"/>
        <v>Cancelled</v>
      </c>
    </row>
    <row r="38" spans="1:15">
      <c r="A38" s="2">
        <v>1037</v>
      </c>
      <c r="B38" s="1">
        <v>46109</v>
      </c>
      <c r="C38" s="1" t="str">
        <f t="shared" si="0"/>
        <v>Mar</v>
      </c>
      <c r="D38" s="2" t="s">
        <v>8</v>
      </c>
      <c r="E38" s="2" t="s">
        <v>9</v>
      </c>
      <c r="F38" s="2">
        <v>1</v>
      </c>
      <c r="G38" s="2">
        <f t="shared" ca="1" si="1"/>
        <v>25091</v>
      </c>
      <c r="H38" s="2">
        <v>1324</v>
      </c>
      <c r="I38" s="2">
        <v>522</v>
      </c>
      <c r="J38" s="2" t="s">
        <v>11</v>
      </c>
      <c r="K38" s="2" t="str">
        <f t="shared" si="2"/>
        <v>Himachal Pradesh</v>
      </c>
      <c r="L38" s="3" t="str">
        <f t="shared" ca="1" si="3"/>
        <v>Female</v>
      </c>
      <c r="M38">
        <f t="shared" ca="1" si="4"/>
        <v>41</v>
      </c>
      <c r="N38" s="2" t="str">
        <f t="shared" ca="1" si="5"/>
        <v>Adult</v>
      </c>
      <c r="O38" t="str">
        <f t="shared" ca="1" si="6"/>
        <v>Deliverd</v>
      </c>
    </row>
    <row r="39" spans="1:15">
      <c r="A39" s="2">
        <v>1038</v>
      </c>
      <c r="B39" s="1">
        <v>46137</v>
      </c>
      <c r="C39" s="1" t="str">
        <f t="shared" si="0"/>
        <v>Apr</v>
      </c>
      <c r="D39" s="2" t="s">
        <v>13</v>
      </c>
      <c r="E39" s="2" t="s">
        <v>9</v>
      </c>
      <c r="F39" s="2">
        <v>4</v>
      </c>
      <c r="G39" s="2">
        <f t="shared" ca="1" si="1"/>
        <v>17282</v>
      </c>
      <c r="H39" s="2">
        <v>56928</v>
      </c>
      <c r="I39" s="2">
        <v>23572</v>
      </c>
      <c r="J39" s="2" t="s">
        <v>10</v>
      </c>
      <c r="K39" s="2" t="str">
        <f t="shared" si="2"/>
        <v>Jharkhand</v>
      </c>
      <c r="L39" s="3" t="str">
        <f t="shared" ca="1" si="3"/>
        <v>Female</v>
      </c>
      <c r="M39">
        <f t="shared" ca="1" si="4"/>
        <v>57</v>
      </c>
      <c r="N39" s="2" t="str">
        <f t="shared" ca="1" si="5"/>
        <v>Adult</v>
      </c>
      <c r="O39" t="str">
        <f t="shared" ca="1" si="6"/>
        <v>Deliverd</v>
      </c>
    </row>
    <row r="40" spans="1:15">
      <c r="A40" s="2">
        <v>1039</v>
      </c>
      <c r="B40" s="1">
        <v>46086</v>
      </c>
      <c r="C40" s="1" t="str">
        <f t="shared" si="0"/>
        <v>Mar</v>
      </c>
      <c r="D40" s="2" t="s">
        <v>19</v>
      </c>
      <c r="E40" s="2" t="s">
        <v>20</v>
      </c>
      <c r="F40" s="2">
        <v>3</v>
      </c>
      <c r="G40" s="2">
        <f t="shared" ca="1" si="1"/>
        <v>32329</v>
      </c>
      <c r="H40" s="2">
        <v>28689</v>
      </c>
      <c r="I40" s="2">
        <v>8682</v>
      </c>
      <c r="J40" s="2" t="s">
        <v>11</v>
      </c>
      <c r="K40" s="2" t="str">
        <f t="shared" si="2"/>
        <v>Karnataka</v>
      </c>
      <c r="L40" s="3" t="str">
        <f t="shared" ca="1" si="3"/>
        <v>Male</v>
      </c>
      <c r="M40">
        <f t="shared" ca="1" si="4"/>
        <v>58</v>
      </c>
      <c r="N40" s="2" t="str">
        <f t="shared" ca="1" si="5"/>
        <v>Adult</v>
      </c>
      <c r="O40" t="str">
        <f t="shared" ca="1" si="6"/>
        <v>Pending</v>
      </c>
    </row>
    <row r="41" spans="1:15">
      <c r="A41" s="2">
        <v>1040</v>
      </c>
      <c r="B41" s="1">
        <v>46189</v>
      </c>
      <c r="C41" s="1" t="str">
        <f t="shared" si="0"/>
        <v>Jun</v>
      </c>
      <c r="D41" s="2" t="s">
        <v>21</v>
      </c>
      <c r="E41" s="2" t="s">
        <v>20</v>
      </c>
      <c r="F41" s="2">
        <v>9</v>
      </c>
      <c r="G41" s="2">
        <f t="shared" ca="1" si="1"/>
        <v>44888</v>
      </c>
      <c r="H41" s="2">
        <v>77436</v>
      </c>
      <c r="I41" s="2">
        <v>12663</v>
      </c>
      <c r="J41" s="2" t="s">
        <v>11</v>
      </c>
      <c r="K41" s="2" t="str">
        <f t="shared" si="2"/>
        <v>Kerala</v>
      </c>
      <c r="L41" s="3" t="str">
        <f t="shared" ca="1" si="3"/>
        <v>Female</v>
      </c>
      <c r="M41">
        <f t="shared" ca="1" si="4"/>
        <v>36</v>
      </c>
      <c r="N41" s="2" t="str">
        <f t="shared" ca="1" si="5"/>
        <v>Adult</v>
      </c>
      <c r="O41" t="str">
        <f t="shared" ca="1" si="6"/>
        <v>Cancelled</v>
      </c>
    </row>
    <row r="42" spans="1:15">
      <c r="A42" s="2">
        <v>1041</v>
      </c>
      <c r="B42" s="1">
        <v>46147</v>
      </c>
      <c r="C42" s="1" t="str">
        <f t="shared" si="0"/>
        <v>May</v>
      </c>
      <c r="D42" s="2" t="s">
        <v>8</v>
      </c>
      <c r="E42" s="2" t="s">
        <v>9</v>
      </c>
      <c r="F42" s="2">
        <v>4</v>
      </c>
      <c r="G42" s="2">
        <f t="shared" ca="1" si="1"/>
        <v>43618</v>
      </c>
      <c r="H42" s="2">
        <v>3360</v>
      </c>
      <c r="I42" s="2">
        <v>1432</v>
      </c>
      <c r="J42" s="2" t="s">
        <v>16</v>
      </c>
      <c r="K42" s="2" t="str">
        <f t="shared" si="2"/>
        <v>Madhya Pradesh</v>
      </c>
      <c r="L42" s="3" t="str">
        <f t="shared" ca="1" si="3"/>
        <v>Male</v>
      </c>
      <c r="M42">
        <f t="shared" ca="1" si="4"/>
        <v>20</v>
      </c>
      <c r="N42" s="2" t="str">
        <f t="shared" ca="1" si="5"/>
        <v>Adult</v>
      </c>
      <c r="O42" t="str">
        <f t="shared" ca="1" si="6"/>
        <v>Cancelled</v>
      </c>
    </row>
    <row r="43" spans="1:15">
      <c r="A43" s="2">
        <v>1042</v>
      </c>
      <c r="B43" s="1">
        <v>46120</v>
      </c>
      <c r="C43" s="1" t="str">
        <f t="shared" si="0"/>
        <v>Apr</v>
      </c>
      <c r="D43" s="2" t="s">
        <v>13</v>
      </c>
      <c r="E43" s="2" t="s">
        <v>9</v>
      </c>
      <c r="F43" s="2">
        <v>7</v>
      </c>
      <c r="G43" s="2">
        <f t="shared" ca="1" si="1"/>
        <v>46085</v>
      </c>
      <c r="H43" s="2">
        <v>69447</v>
      </c>
      <c r="I43" s="2">
        <v>19936</v>
      </c>
      <c r="J43" s="2" t="s">
        <v>11</v>
      </c>
      <c r="K43" s="2" t="str">
        <f t="shared" si="2"/>
        <v>Maharashtra</v>
      </c>
      <c r="L43" s="3" t="str">
        <f t="shared" ca="1" si="3"/>
        <v>Male</v>
      </c>
      <c r="M43">
        <f t="shared" ca="1" si="4"/>
        <v>26</v>
      </c>
      <c r="N43" s="2" t="str">
        <f t="shared" ca="1" si="5"/>
        <v>Adult</v>
      </c>
      <c r="O43" t="str">
        <f t="shared" ca="1" si="6"/>
        <v>Pending</v>
      </c>
    </row>
    <row r="44" spans="1:15">
      <c r="A44" s="2">
        <v>1043</v>
      </c>
      <c r="B44" s="1">
        <v>46131</v>
      </c>
      <c r="C44" s="1" t="str">
        <f t="shared" si="0"/>
        <v>Apr</v>
      </c>
      <c r="D44" s="2" t="s">
        <v>19</v>
      </c>
      <c r="E44" s="2" t="s">
        <v>20</v>
      </c>
      <c r="F44" s="2">
        <v>5</v>
      </c>
      <c r="G44" s="2">
        <f t="shared" ca="1" si="1"/>
        <v>19111</v>
      </c>
      <c r="H44" s="2">
        <v>62270</v>
      </c>
      <c r="I44" s="2">
        <v>10840</v>
      </c>
      <c r="J44" s="2" t="s">
        <v>16</v>
      </c>
      <c r="K44" s="2" t="str">
        <f t="shared" si="2"/>
        <v>Manipur</v>
      </c>
      <c r="L44" s="3" t="str">
        <f t="shared" ca="1" si="3"/>
        <v>Male</v>
      </c>
      <c r="M44">
        <f t="shared" ca="1" si="4"/>
        <v>51</v>
      </c>
      <c r="N44" s="2" t="str">
        <f t="shared" ca="1" si="5"/>
        <v>Adult</v>
      </c>
      <c r="O44" t="str">
        <f t="shared" ca="1" si="6"/>
        <v>Deliverd</v>
      </c>
    </row>
    <row r="45" spans="1:15">
      <c r="A45" s="2">
        <v>1044</v>
      </c>
      <c r="B45" s="1">
        <v>46037</v>
      </c>
      <c r="C45" s="1" t="str">
        <f t="shared" si="0"/>
        <v>Jan</v>
      </c>
      <c r="D45" s="2" t="s">
        <v>17</v>
      </c>
      <c r="E45" s="2" t="s">
        <v>9</v>
      </c>
      <c r="F45" s="2">
        <v>4</v>
      </c>
      <c r="G45" s="2">
        <f t="shared" ca="1" si="1"/>
        <v>4489</v>
      </c>
      <c r="H45" s="2">
        <v>8860</v>
      </c>
      <c r="I45" s="2">
        <v>1888</v>
      </c>
      <c r="J45" s="2" t="s">
        <v>11</v>
      </c>
      <c r="K45" s="2" t="str">
        <f t="shared" si="2"/>
        <v>Meghalaya</v>
      </c>
      <c r="L45" s="3" t="str">
        <f t="shared" ca="1" si="3"/>
        <v>Female</v>
      </c>
      <c r="M45">
        <f t="shared" ca="1" si="4"/>
        <v>40</v>
      </c>
      <c r="N45" s="2" t="str">
        <f t="shared" ca="1" si="5"/>
        <v>Adult</v>
      </c>
      <c r="O45" t="str">
        <f t="shared" ca="1" si="6"/>
        <v>Cancelled</v>
      </c>
    </row>
    <row r="46" spans="1:15">
      <c r="A46" s="2">
        <v>1045</v>
      </c>
      <c r="B46" s="1">
        <v>46145</v>
      </c>
      <c r="C46" s="1" t="str">
        <f t="shared" si="0"/>
        <v>May</v>
      </c>
      <c r="D46" s="2" t="s">
        <v>15</v>
      </c>
      <c r="E46" s="2" t="s">
        <v>9</v>
      </c>
      <c r="F46" s="2">
        <v>1</v>
      </c>
      <c r="G46" s="2">
        <f t="shared" ca="1" si="1"/>
        <v>29288</v>
      </c>
      <c r="H46" s="2">
        <v>1910</v>
      </c>
      <c r="I46" s="2">
        <v>1496</v>
      </c>
      <c r="J46" s="2" t="s">
        <v>10</v>
      </c>
      <c r="K46" s="2" t="str">
        <f t="shared" si="2"/>
        <v>Mizoram</v>
      </c>
      <c r="L46" s="3" t="str">
        <f t="shared" ca="1" si="3"/>
        <v>Male</v>
      </c>
      <c r="M46">
        <f t="shared" ca="1" si="4"/>
        <v>57</v>
      </c>
      <c r="N46" s="2" t="str">
        <f t="shared" ca="1" si="5"/>
        <v>Adult</v>
      </c>
      <c r="O46" t="str">
        <f t="shared" ca="1" si="6"/>
        <v>Pending</v>
      </c>
    </row>
    <row r="47" spans="1:15">
      <c r="A47" s="2">
        <v>1046</v>
      </c>
      <c r="B47" s="1">
        <v>46070</v>
      </c>
      <c r="C47" s="1" t="str">
        <f t="shared" si="0"/>
        <v>Feb</v>
      </c>
      <c r="D47" s="2" t="s">
        <v>12</v>
      </c>
      <c r="E47" s="2" t="s">
        <v>9</v>
      </c>
      <c r="F47" s="2">
        <v>9</v>
      </c>
      <c r="G47" s="2">
        <f t="shared" ca="1" si="1"/>
        <v>2723</v>
      </c>
      <c r="H47" s="2">
        <v>362250</v>
      </c>
      <c r="I47" s="2">
        <v>107766</v>
      </c>
      <c r="J47" s="2" t="s">
        <v>11</v>
      </c>
      <c r="K47" s="2" t="str">
        <f t="shared" si="2"/>
        <v>Nagaland</v>
      </c>
      <c r="L47" s="3" t="str">
        <f t="shared" ca="1" si="3"/>
        <v>Female</v>
      </c>
      <c r="M47">
        <f t="shared" ca="1" si="4"/>
        <v>32</v>
      </c>
      <c r="N47" s="2" t="str">
        <f t="shared" ca="1" si="5"/>
        <v>Adult</v>
      </c>
      <c r="O47" t="str">
        <f t="shared" ca="1" si="6"/>
        <v>Cancelled</v>
      </c>
    </row>
    <row r="48" spans="1:15">
      <c r="A48" s="2">
        <v>1047</v>
      </c>
      <c r="B48" s="1">
        <v>46168</v>
      </c>
      <c r="C48" s="1" t="str">
        <f t="shared" si="0"/>
        <v>May</v>
      </c>
      <c r="D48" s="2" t="s">
        <v>8</v>
      </c>
      <c r="E48" s="2" t="s">
        <v>9</v>
      </c>
      <c r="F48" s="2">
        <v>4</v>
      </c>
      <c r="G48" s="2">
        <f t="shared" ca="1" si="1"/>
        <v>24018</v>
      </c>
      <c r="H48" s="2">
        <v>5304</v>
      </c>
      <c r="I48" s="2">
        <v>844</v>
      </c>
      <c r="J48" s="2" t="s">
        <v>10</v>
      </c>
      <c r="K48" s="2" t="str">
        <f t="shared" si="2"/>
        <v>Odisha</v>
      </c>
      <c r="L48" s="3" t="str">
        <f t="shared" ca="1" si="3"/>
        <v>Female</v>
      </c>
      <c r="M48">
        <f t="shared" ca="1" si="4"/>
        <v>27</v>
      </c>
      <c r="N48" s="2" t="str">
        <f t="shared" ca="1" si="5"/>
        <v>Adult</v>
      </c>
      <c r="O48" t="str">
        <f t="shared" ca="1" si="6"/>
        <v>Deliverd</v>
      </c>
    </row>
    <row r="49" spans="1:15">
      <c r="A49" s="2">
        <v>1048</v>
      </c>
      <c r="B49" s="1">
        <v>46191</v>
      </c>
      <c r="C49" s="1" t="str">
        <f t="shared" si="0"/>
        <v>Jun</v>
      </c>
      <c r="D49" s="2" t="s">
        <v>12</v>
      </c>
      <c r="E49" s="2" t="s">
        <v>9</v>
      </c>
      <c r="F49" s="2">
        <v>10</v>
      </c>
      <c r="G49" s="2">
        <f t="shared" ca="1" si="1"/>
        <v>32107</v>
      </c>
      <c r="H49" s="2">
        <v>403720</v>
      </c>
      <c r="I49" s="2">
        <v>84340</v>
      </c>
      <c r="J49" s="2" t="s">
        <v>14</v>
      </c>
      <c r="K49" s="2" t="str">
        <f t="shared" si="2"/>
        <v>Punjab</v>
      </c>
      <c r="L49" s="3" t="str">
        <f t="shared" ca="1" si="3"/>
        <v>Female</v>
      </c>
      <c r="M49">
        <f t="shared" ca="1" si="4"/>
        <v>25</v>
      </c>
      <c r="N49" s="2" t="str">
        <f t="shared" ca="1" si="5"/>
        <v>Adult</v>
      </c>
      <c r="O49" t="str">
        <f t="shared" ca="1" si="6"/>
        <v>Pending</v>
      </c>
    </row>
    <row r="50" spans="1:15">
      <c r="A50" s="2">
        <v>1049</v>
      </c>
      <c r="B50" s="1">
        <v>46090</v>
      </c>
      <c r="C50" s="1" t="str">
        <f t="shared" si="0"/>
        <v>Mar</v>
      </c>
      <c r="D50" s="2" t="s">
        <v>18</v>
      </c>
      <c r="E50" s="2" t="s">
        <v>9</v>
      </c>
      <c r="F50" s="2">
        <v>4</v>
      </c>
      <c r="G50" s="2">
        <f t="shared" ca="1" si="1"/>
        <v>8341</v>
      </c>
      <c r="H50" s="2">
        <v>69180</v>
      </c>
      <c r="I50" s="2">
        <v>8708</v>
      </c>
      <c r="J50" s="2" t="s">
        <v>16</v>
      </c>
      <c r="K50" s="2" t="str">
        <f t="shared" si="2"/>
        <v>Rajasthan</v>
      </c>
      <c r="L50" s="3" t="str">
        <f t="shared" ca="1" si="3"/>
        <v>Female</v>
      </c>
      <c r="M50">
        <f t="shared" ca="1" si="4"/>
        <v>23</v>
      </c>
      <c r="N50" s="2" t="str">
        <f t="shared" ca="1" si="5"/>
        <v>Adult</v>
      </c>
      <c r="O50" t="str">
        <f t="shared" ca="1" si="6"/>
        <v>Pending</v>
      </c>
    </row>
    <row r="51" spans="1:15">
      <c r="A51" s="2">
        <v>1050</v>
      </c>
      <c r="B51" s="1">
        <v>46041</v>
      </c>
      <c r="C51" s="1" t="str">
        <f t="shared" si="0"/>
        <v>Jan</v>
      </c>
      <c r="D51" s="2" t="s">
        <v>17</v>
      </c>
      <c r="E51" s="2" t="s">
        <v>9</v>
      </c>
      <c r="F51" s="2">
        <v>5</v>
      </c>
      <c r="G51" s="2">
        <f t="shared" ca="1" si="1"/>
        <v>47377</v>
      </c>
      <c r="H51" s="2">
        <v>14360</v>
      </c>
      <c r="I51" s="2">
        <v>2865</v>
      </c>
      <c r="J51" s="2" t="s">
        <v>11</v>
      </c>
      <c r="K51" s="2" t="str">
        <f t="shared" si="2"/>
        <v>Sikkim</v>
      </c>
      <c r="L51" s="3" t="str">
        <f t="shared" ca="1" si="3"/>
        <v>Male</v>
      </c>
      <c r="M51">
        <f t="shared" ca="1" si="4"/>
        <v>39</v>
      </c>
      <c r="N51" s="2" t="str">
        <f t="shared" ca="1" si="5"/>
        <v>Adult</v>
      </c>
      <c r="O51" t="str">
        <f t="shared" ca="1" si="6"/>
        <v>Pending</v>
      </c>
    </row>
    <row r="52" spans="1:15">
      <c r="A52" s="2">
        <v>1051</v>
      </c>
      <c r="B52" s="1">
        <v>46041</v>
      </c>
      <c r="C52" s="1" t="str">
        <f t="shared" si="0"/>
        <v>Jan</v>
      </c>
      <c r="D52" s="2" t="s">
        <v>21</v>
      </c>
      <c r="E52" s="2" t="s">
        <v>20</v>
      </c>
      <c r="F52" s="2">
        <v>10</v>
      </c>
      <c r="G52" s="2">
        <f t="shared" ca="1" si="1"/>
        <v>33993</v>
      </c>
      <c r="H52" s="2">
        <v>162240</v>
      </c>
      <c r="I52" s="2">
        <v>16090</v>
      </c>
      <c r="J52" s="2" t="s">
        <v>10</v>
      </c>
      <c r="K52" s="2" t="str">
        <f t="shared" si="2"/>
        <v>Tamil Nadu</v>
      </c>
      <c r="L52" s="3" t="str">
        <f t="shared" ca="1" si="3"/>
        <v>Female</v>
      </c>
      <c r="M52">
        <f t="shared" ca="1" si="4"/>
        <v>40</v>
      </c>
      <c r="N52" s="2" t="str">
        <f t="shared" ca="1" si="5"/>
        <v>Adult</v>
      </c>
      <c r="O52" t="str">
        <f t="shared" ca="1" si="6"/>
        <v>Cancelled</v>
      </c>
    </row>
    <row r="53" spans="1:15">
      <c r="A53" s="2">
        <v>1052</v>
      </c>
      <c r="B53" s="1">
        <v>46040</v>
      </c>
      <c r="C53" s="1" t="str">
        <f t="shared" si="0"/>
        <v>Jan</v>
      </c>
      <c r="D53" s="2" t="s">
        <v>18</v>
      </c>
      <c r="E53" s="2" t="s">
        <v>9</v>
      </c>
      <c r="F53" s="2">
        <v>3</v>
      </c>
      <c r="G53" s="2">
        <f t="shared" ca="1" si="1"/>
        <v>16559</v>
      </c>
      <c r="H53" s="2">
        <v>55308</v>
      </c>
      <c r="I53" s="2">
        <v>14424</v>
      </c>
      <c r="J53" s="2" t="s">
        <v>10</v>
      </c>
      <c r="K53" s="2" t="str">
        <f t="shared" si="2"/>
        <v>Telangana</v>
      </c>
      <c r="L53" s="3" t="str">
        <f t="shared" ca="1" si="3"/>
        <v>Female</v>
      </c>
      <c r="M53">
        <f t="shared" ca="1" si="4"/>
        <v>51</v>
      </c>
      <c r="N53" s="2" t="str">
        <f t="shared" ca="1" si="5"/>
        <v>Adult</v>
      </c>
      <c r="O53" t="str">
        <f t="shared" ca="1" si="6"/>
        <v>Cancelled</v>
      </c>
    </row>
    <row r="54" spans="1:15">
      <c r="A54" s="2">
        <v>1053</v>
      </c>
      <c r="B54" s="1">
        <v>46162</v>
      </c>
      <c r="C54" s="1" t="str">
        <f t="shared" si="0"/>
        <v>May</v>
      </c>
      <c r="D54" s="2" t="s">
        <v>15</v>
      </c>
      <c r="E54" s="2" t="s">
        <v>9</v>
      </c>
      <c r="F54" s="2">
        <v>5</v>
      </c>
      <c r="G54" s="2">
        <f t="shared" ca="1" si="1"/>
        <v>5850</v>
      </c>
      <c r="H54" s="2">
        <v>13960</v>
      </c>
      <c r="I54" s="2">
        <v>5985</v>
      </c>
      <c r="J54" s="2" t="s">
        <v>14</v>
      </c>
      <c r="K54" s="2" t="str">
        <f t="shared" si="2"/>
        <v>Tripura</v>
      </c>
      <c r="L54" s="3" t="str">
        <f t="shared" ca="1" si="3"/>
        <v>Female</v>
      </c>
      <c r="M54">
        <f t="shared" ca="1" si="4"/>
        <v>41</v>
      </c>
      <c r="N54" s="2" t="str">
        <f t="shared" ca="1" si="5"/>
        <v>Adult</v>
      </c>
      <c r="O54" t="str">
        <f t="shared" ca="1" si="6"/>
        <v>Cancelled</v>
      </c>
    </row>
    <row r="55" spans="1:15">
      <c r="A55" s="2">
        <v>1054</v>
      </c>
      <c r="B55" s="1">
        <v>46049</v>
      </c>
      <c r="C55" s="1" t="str">
        <f t="shared" si="0"/>
        <v>Jan</v>
      </c>
      <c r="D55" s="2" t="s">
        <v>12</v>
      </c>
      <c r="E55" s="2" t="s">
        <v>9</v>
      </c>
      <c r="F55" s="2">
        <v>9</v>
      </c>
      <c r="G55" s="2">
        <f t="shared" ca="1" si="1"/>
        <v>24691</v>
      </c>
      <c r="H55" s="2">
        <v>491580</v>
      </c>
      <c r="I55" s="2">
        <v>93906</v>
      </c>
      <c r="J55" s="2" t="s">
        <v>10</v>
      </c>
      <c r="K55" s="2" t="str">
        <f t="shared" si="2"/>
        <v>Uttar Pradesh</v>
      </c>
      <c r="L55" s="3" t="str">
        <f t="shared" ca="1" si="3"/>
        <v>Male</v>
      </c>
      <c r="M55">
        <f t="shared" ca="1" si="4"/>
        <v>40</v>
      </c>
      <c r="N55" s="2" t="str">
        <f t="shared" ca="1" si="5"/>
        <v>Adult</v>
      </c>
      <c r="O55" t="str">
        <f t="shared" ca="1" si="6"/>
        <v>Pending</v>
      </c>
    </row>
    <row r="56" spans="1:15">
      <c r="A56" s="2">
        <v>1055</v>
      </c>
      <c r="B56" s="1">
        <v>46164</v>
      </c>
      <c r="C56" s="1" t="str">
        <f t="shared" si="0"/>
        <v>May</v>
      </c>
      <c r="D56" s="2" t="s">
        <v>18</v>
      </c>
      <c r="E56" s="2" t="s">
        <v>9</v>
      </c>
      <c r="F56" s="2">
        <v>2</v>
      </c>
      <c r="G56" s="2">
        <f t="shared" ca="1" si="1"/>
        <v>44034</v>
      </c>
      <c r="H56" s="2">
        <v>21014</v>
      </c>
      <c r="I56" s="2">
        <v>8480</v>
      </c>
      <c r="J56" s="2" t="s">
        <v>10</v>
      </c>
      <c r="K56" s="2" t="str">
        <f t="shared" si="2"/>
        <v>Uttarakhand</v>
      </c>
      <c r="L56" s="3" t="str">
        <f t="shared" ca="1" si="3"/>
        <v>Male</v>
      </c>
      <c r="M56">
        <f t="shared" ca="1" si="4"/>
        <v>43</v>
      </c>
      <c r="N56" s="2" t="str">
        <f t="shared" ca="1" si="5"/>
        <v>Adult</v>
      </c>
      <c r="O56" t="str">
        <f t="shared" ca="1" si="6"/>
        <v>Pending</v>
      </c>
    </row>
    <row r="57" spans="1:15">
      <c r="A57" s="2">
        <v>1056</v>
      </c>
      <c r="B57" s="1">
        <v>46110</v>
      </c>
      <c r="C57" s="1" t="str">
        <f t="shared" si="0"/>
        <v>Mar</v>
      </c>
      <c r="D57" s="2" t="s">
        <v>18</v>
      </c>
      <c r="E57" s="2" t="s">
        <v>9</v>
      </c>
      <c r="F57" s="2">
        <v>5</v>
      </c>
      <c r="G57" s="2">
        <f t="shared" ca="1" si="1"/>
        <v>42886</v>
      </c>
      <c r="H57" s="2">
        <v>69505</v>
      </c>
      <c r="I57" s="2">
        <v>20695</v>
      </c>
      <c r="J57" s="2" t="s">
        <v>10</v>
      </c>
      <c r="K57" s="2" t="str">
        <f t="shared" si="2"/>
        <v>West Bengal</v>
      </c>
      <c r="L57" s="3" t="str">
        <f t="shared" ca="1" si="3"/>
        <v>Male</v>
      </c>
      <c r="M57">
        <f t="shared" ca="1" si="4"/>
        <v>43</v>
      </c>
      <c r="N57" s="2" t="str">
        <f t="shared" ca="1" si="5"/>
        <v>Adult</v>
      </c>
      <c r="O57" t="str">
        <f t="shared" ca="1" si="6"/>
        <v>Pending</v>
      </c>
    </row>
    <row r="58" spans="1:15">
      <c r="A58" s="2">
        <v>1057</v>
      </c>
      <c r="B58" s="1">
        <v>46036</v>
      </c>
      <c r="C58" s="1" t="str">
        <f t="shared" si="0"/>
        <v>Jan</v>
      </c>
      <c r="D58" s="2" t="s">
        <v>18</v>
      </c>
      <c r="E58" s="2" t="s">
        <v>9</v>
      </c>
      <c r="F58" s="2">
        <v>9</v>
      </c>
      <c r="G58" s="2">
        <f t="shared" ca="1" si="1"/>
        <v>31073</v>
      </c>
      <c r="H58" s="2">
        <v>207072</v>
      </c>
      <c r="I58" s="2">
        <v>20052</v>
      </c>
      <c r="J58" s="2" t="s">
        <v>11</v>
      </c>
      <c r="K58" s="2" t="str">
        <f t="shared" si="2"/>
        <v>Andhra Pradesh</v>
      </c>
      <c r="L58" s="3" t="str">
        <f t="shared" ca="1" si="3"/>
        <v>Female</v>
      </c>
      <c r="M58">
        <f t="shared" ca="1" si="4"/>
        <v>43</v>
      </c>
      <c r="N58" s="2" t="str">
        <f t="shared" ca="1" si="5"/>
        <v>Adult</v>
      </c>
      <c r="O58" t="str">
        <f t="shared" ca="1" si="6"/>
        <v>Deliverd</v>
      </c>
    </row>
    <row r="59" spans="1:15">
      <c r="A59" s="2">
        <v>1058</v>
      </c>
      <c r="B59" s="1">
        <v>46108</v>
      </c>
      <c r="C59" s="1" t="str">
        <f t="shared" si="0"/>
        <v>Mar</v>
      </c>
      <c r="D59" s="2" t="s">
        <v>19</v>
      </c>
      <c r="E59" s="2" t="s">
        <v>20</v>
      </c>
      <c r="F59" s="2">
        <v>5</v>
      </c>
      <c r="G59" s="2">
        <f t="shared" ca="1" si="1"/>
        <v>46665</v>
      </c>
      <c r="H59" s="2">
        <v>28610</v>
      </c>
      <c r="I59" s="2">
        <v>5070</v>
      </c>
      <c r="J59" s="2" t="s">
        <v>10</v>
      </c>
      <c r="K59" s="2" t="str">
        <f t="shared" si="2"/>
        <v>Arunachal Pradesh</v>
      </c>
      <c r="L59" s="3" t="str">
        <f t="shared" ca="1" si="3"/>
        <v>Male</v>
      </c>
      <c r="M59">
        <f t="shared" ca="1" si="4"/>
        <v>33</v>
      </c>
      <c r="N59" s="2" t="str">
        <f t="shared" ca="1" si="5"/>
        <v>Adult</v>
      </c>
      <c r="O59" t="str">
        <f t="shared" ca="1" si="6"/>
        <v>Deliverd</v>
      </c>
    </row>
    <row r="60" spans="1:15">
      <c r="A60" s="2">
        <v>1059</v>
      </c>
      <c r="B60" s="1">
        <v>46203</v>
      </c>
      <c r="C60" s="1" t="str">
        <f t="shared" si="0"/>
        <v>Jun</v>
      </c>
      <c r="D60" s="2" t="s">
        <v>18</v>
      </c>
      <c r="E60" s="2" t="s">
        <v>9</v>
      </c>
      <c r="F60" s="2">
        <v>3</v>
      </c>
      <c r="G60" s="2">
        <f t="shared" ca="1" si="1"/>
        <v>21633</v>
      </c>
      <c r="H60" s="2">
        <v>64434</v>
      </c>
      <c r="I60" s="2">
        <v>10377</v>
      </c>
      <c r="J60" s="2" t="s">
        <v>16</v>
      </c>
      <c r="K60" s="2" t="str">
        <f t="shared" si="2"/>
        <v>Assam</v>
      </c>
      <c r="L60" s="3" t="str">
        <f t="shared" ca="1" si="3"/>
        <v>Male</v>
      </c>
      <c r="M60">
        <f t="shared" ca="1" si="4"/>
        <v>47</v>
      </c>
      <c r="N60" s="2" t="str">
        <f t="shared" ca="1" si="5"/>
        <v>Adult</v>
      </c>
      <c r="O60" t="str">
        <f t="shared" ca="1" si="6"/>
        <v>Deliverd</v>
      </c>
    </row>
    <row r="61" spans="1:15">
      <c r="A61" s="2">
        <v>1060</v>
      </c>
      <c r="B61" s="1">
        <v>46061</v>
      </c>
      <c r="C61" s="1" t="str">
        <f t="shared" si="0"/>
        <v>Feb</v>
      </c>
      <c r="D61" s="2" t="s">
        <v>12</v>
      </c>
      <c r="E61" s="2" t="s">
        <v>9</v>
      </c>
      <c r="F61" s="2">
        <v>2</v>
      </c>
      <c r="G61" s="2">
        <f t="shared" ca="1" si="1"/>
        <v>7253</v>
      </c>
      <c r="H61" s="2">
        <v>79862</v>
      </c>
      <c r="I61" s="2">
        <v>21320</v>
      </c>
      <c r="J61" s="2" t="s">
        <v>11</v>
      </c>
      <c r="K61" s="2" t="str">
        <f t="shared" si="2"/>
        <v>Bihar</v>
      </c>
      <c r="L61" s="3" t="str">
        <f t="shared" ca="1" si="3"/>
        <v>Female</v>
      </c>
      <c r="M61">
        <f t="shared" ca="1" si="4"/>
        <v>29</v>
      </c>
      <c r="N61" s="2" t="str">
        <f t="shared" ca="1" si="5"/>
        <v>Adult</v>
      </c>
      <c r="O61" t="str">
        <f t="shared" ca="1" si="6"/>
        <v>Deliverd</v>
      </c>
    </row>
    <row r="62" spans="1:15">
      <c r="A62" s="2">
        <v>1061</v>
      </c>
      <c r="B62" s="1">
        <v>46133</v>
      </c>
      <c r="C62" s="1" t="str">
        <f t="shared" si="0"/>
        <v>Apr</v>
      </c>
      <c r="D62" s="2" t="s">
        <v>15</v>
      </c>
      <c r="E62" s="2" t="s">
        <v>9</v>
      </c>
      <c r="F62" s="2">
        <v>10</v>
      </c>
      <c r="G62" s="2">
        <f t="shared" ca="1" si="1"/>
        <v>32005</v>
      </c>
      <c r="H62" s="2">
        <v>60260</v>
      </c>
      <c r="I62" s="2">
        <v>6030</v>
      </c>
      <c r="J62" s="2" t="s">
        <v>10</v>
      </c>
      <c r="K62" s="2" t="str">
        <f t="shared" si="2"/>
        <v>Chhattisgarh</v>
      </c>
      <c r="L62" s="3" t="str">
        <f t="shared" ca="1" si="3"/>
        <v>Female</v>
      </c>
      <c r="M62">
        <f t="shared" ca="1" si="4"/>
        <v>48</v>
      </c>
      <c r="N62" s="2" t="str">
        <f t="shared" ca="1" si="5"/>
        <v>Adult</v>
      </c>
      <c r="O62" t="str">
        <f t="shared" ca="1" si="6"/>
        <v>Cancelled</v>
      </c>
    </row>
    <row r="63" spans="1:15">
      <c r="A63" s="2">
        <v>1062</v>
      </c>
      <c r="B63" s="1">
        <v>46033</v>
      </c>
      <c r="C63" s="1" t="str">
        <f t="shared" si="0"/>
        <v>Jan</v>
      </c>
      <c r="D63" s="2" t="s">
        <v>12</v>
      </c>
      <c r="E63" s="2" t="s">
        <v>9</v>
      </c>
      <c r="F63" s="2">
        <v>5</v>
      </c>
      <c r="G63" s="2">
        <f t="shared" ca="1" si="1"/>
        <v>9771</v>
      </c>
      <c r="H63" s="2">
        <v>294485</v>
      </c>
      <c r="I63" s="2">
        <v>57605</v>
      </c>
      <c r="J63" s="2" t="s">
        <v>14</v>
      </c>
      <c r="K63" s="2" t="str">
        <f t="shared" si="2"/>
        <v>Goa</v>
      </c>
      <c r="L63" s="3" t="str">
        <f t="shared" ca="1" si="3"/>
        <v>Female</v>
      </c>
      <c r="M63">
        <f t="shared" ca="1" si="4"/>
        <v>28</v>
      </c>
      <c r="N63" s="2" t="str">
        <f t="shared" ca="1" si="5"/>
        <v>Adult</v>
      </c>
      <c r="O63" t="str">
        <f t="shared" ca="1" si="6"/>
        <v>Cancelled</v>
      </c>
    </row>
    <row r="64" spans="1:15">
      <c r="A64" s="2">
        <v>1063</v>
      </c>
      <c r="B64" s="1">
        <v>46113</v>
      </c>
      <c r="C64" s="1" t="str">
        <f t="shared" si="0"/>
        <v>Apr</v>
      </c>
      <c r="D64" s="2" t="s">
        <v>13</v>
      </c>
      <c r="E64" s="2" t="s">
        <v>9</v>
      </c>
      <c r="F64" s="2">
        <v>4</v>
      </c>
      <c r="G64" s="2">
        <f t="shared" ca="1" si="1"/>
        <v>6815</v>
      </c>
      <c r="H64" s="2">
        <v>119416</v>
      </c>
      <c r="I64" s="2">
        <v>9368</v>
      </c>
      <c r="J64" s="2" t="s">
        <v>16</v>
      </c>
      <c r="K64" s="2" t="str">
        <f t="shared" si="2"/>
        <v>Gujarat</v>
      </c>
      <c r="L64" s="3" t="str">
        <f t="shared" ca="1" si="3"/>
        <v>Female</v>
      </c>
      <c r="M64">
        <f t="shared" ca="1" si="4"/>
        <v>54</v>
      </c>
      <c r="N64" s="2" t="str">
        <f t="shared" ca="1" si="5"/>
        <v>Adult</v>
      </c>
      <c r="O64" t="str">
        <f t="shared" ca="1" si="6"/>
        <v>Deliverd</v>
      </c>
    </row>
    <row r="65" spans="1:15">
      <c r="A65" s="2">
        <v>1064</v>
      </c>
      <c r="B65" s="1">
        <v>46128</v>
      </c>
      <c r="C65" s="1" t="str">
        <f t="shared" si="0"/>
        <v>Apr</v>
      </c>
      <c r="D65" s="2" t="s">
        <v>17</v>
      </c>
      <c r="E65" s="2" t="s">
        <v>9</v>
      </c>
      <c r="F65" s="2">
        <v>4</v>
      </c>
      <c r="G65" s="2">
        <f t="shared" ca="1" si="1"/>
        <v>49652</v>
      </c>
      <c r="H65" s="2">
        <v>6660</v>
      </c>
      <c r="I65" s="2">
        <v>1724</v>
      </c>
      <c r="J65" s="2" t="s">
        <v>11</v>
      </c>
      <c r="K65" s="2" t="str">
        <f t="shared" si="2"/>
        <v>Haryana</v>
      </c>
      <c r="L65" s="3" t="str">
        <f t="shared" ca="1" si="3"/>
        <v>Female</v>
      </c>
      <c r="M65">
        <f t="shared" ca="1" si="4"/>
        <v>24</v>
      </c>
      <c r="N65" s="2" t="str">
        <f t="shared" ca="1" si="5"/>
        <v>Adult</v>
      </c>
      <c r="O65" t="str">
        <f t="shared" ca="1" si="6"/>
        <v>Cancelled</v>
      </c>
    </row>
    <row r="66" spans="1:15">
      <c r="A66" s="2">
        <v>1065</v>
      </c>
      <c r="B66" s="1">
        <v>46091</v>
      </c>
      <c r="C66" s="1" t="str">
        <f t="shared" si="0"/>
        <v>Mar</v>
      </c>
      <c r="D66" s="2" t="s">
        <v>17</v>
      </c>
      <c r="E66" s="2" t="s">
        <v>9</v>
      </c>
      <c r="F66" s="2">
        <v>6</v>
      </c>
      <c r="G66" s="2">
        <f t="shared" ca="1" si="1"/>
        <v>8628</v>
      </c>
      <c r="H66" s="2">
        <v>16116</v>
      </c>
      <c r="I66" s="2">
        <v>3024</v>
      </c>
      <c r="J66" s="2" t="s">
        <v>10</v>
      </c>
      <c r="K66" s="2" t="str">
        <f t="shared" si="2"/>
        <v>Himachal Pradesh</v>
      </c>
      <c r="L66" s="3" t="str">
        <f t="shared" ca="1" si="3"/>
        <v>Male</v>
      </c>
      <c r="M66">
        <f t="shared" ca="1" si="4"/>
        <v>59</v>
      </c>
      <c r="N66" s="2" t="str">
        <f t="shared" ca="1" si="5"/>
        <v>Adult</v>
      </c>
      <c r="O66" t="str">
        <f t="shared" ca="1" si="6"/>
        <v>Cancelled</v>
      </c>
    </row>
    <row r="67" spans="1:15">
      <c r="A67" s="2">
        <v>1066</v>
      </c>
      <c r="B67" s="1">
        <v>46143</v>
      </c>
      <c r="C67" s="1" t="str">
        <f t="shared" ref="C67:C130" si="7">TEXT(B67,"mmm")</f>
        <v>May</v>
      </c>
      <c r="D67" s="2" t="s">
        <v>8</v>
      </c>
      <c r="E67" s="2" t="s">
        <v>9</v>
      </c>
      <c r="F67" s="2">
        <v>7</v>
      </c>
      <c r="G67" s="2">
        <f t="shared" ref="G67:G130" ca="1" si="8">RANDBETWEEN(500,50000)</f>
        <v>20624</v>
      </c>
      <c r="H67" s="2">
        <v>4053</v>
      </c>
      <c r="I67" s="2">
        <v>4123</v>
      </c>
      <c r="J67" s="2" t="s">
        <v>10</v>
      </c>
      <c r="K67" s="2" t="str">
        <f t="shared" ref="K67:K130" si="9">CHOOSE(MOD(ROW()-2,28)+1,"Andhra Pradesh","Arunachal Pradesh","Assam","Bihar","Chhattisgarh","Goa","Gujarat","Haryana","Himachal Pradesh","Jharkhand","Karnataka","Kerala","Madhya Pradesh","Maharashtra","Manipur","Meghalaya","Mizoram","Nagaland","Odisha","Punjab","Rajasthan","Sikkim","Tamil Nadu","Telangana","Tripura","Uttar Pradesh","Uttarakhand","West Bengal")</f>
        <v>Jharkhand</v>
      </c>
      <c r="L67" s="3" t="str">
        <f t="shared" ref="L67:L130" ca="1" si="10">IF(RAND()&lt;0.5,"Male","Female")</f>
        <v>Male</v>
      </c>
      <c r="M67">
        <f t="shared" ref="M67:M130" ca="1" si="11">RANDBETWEEN(18,60)</f>
        <v>30</v>
      </c>
      <c r="N67" s="2" t="str">
        <f t="shared" ref="N67:N130" ca="1" si="12">IF(M67&lt;20,"Teenager",IF(M67&lt;60,"Adult","Senior"))</f>
        <v>Adult</v>
      </c>
      <c r="O67" t="str">
        <f t="shared" ref="O67:O130" ca="1" si="13">CHOOSE(RANDBETWEEN(1,3),"Deliverd","Pending","Cancelled")</f>
        <v>Pending</v>
      </c>
    </row>
    <row r="68" spans="1:15">
      <c r="A68" s="2">
        <v>1067</v>
      </c>
      <c r="B68" s="1">
        <v>46081</v>
      </c>
      <c r="C68" s="1" t="str">
        <f t="shared" si="7"/>
        <v>Feb</v>
      </c>
      <c r="D68" s="2" t="s">
        <v>13</v>
      </c>
      <c r="E68" s="2" t="s">
        <v>9</v>
      </c>
      <c r="F68" s="2">
        <v>8</v>
      </c>
      <c r="G68" s="2">
        <f t="shared" ca="1" si="8"/>
        <v>29302</v>
      </c>
      <c r="H68" s="2">
        <v>155656</v>
      </c>
      <c r="I68" s="2">
        <v>32000</v>
      </c>
      <c r="J68" s="2" t="s">
        <v>10</v>
      </c>
      <c r="K68" s="2" t="str">
        <f t="shared" si="9"/>
        <v>Karnataka</v>
      </c>
      <c r="L68" s="3" t="str">
        <f t="shared" ca="1" si="10"/>
        <v>Male</v>
      </c>
      <c r="M68">
        <f t="shared" ca="1" si="11"/>
        <v>20</v>
      </c>
      <c r="N68" s="2" t="str">
        <f t="shared" ca="1" si="12"/>
        <v>Adult</v>
      </c>
      <c r="O68" t="str">
        <f t="shared" ca="1" si="13"/>
        <v>Pending</v>
      </c>
    </row>
    <row r="69" spans="1:15">
      <c r="A69" s="2">
        <v>1068</v>
      </c>
      <c r="B69" s="1">
        <v>46094</v>
      </c>
      <c r="C69" s="1" t="str">
        <f t="shared" si="7"/>
        <v>Mar</v>
      </c>
      <c r="D69" s="2" t="s">
        <v>12</v>
      </c>
      <c r="E69" s="2" t="s">
        <v>9</v>
      </c>
      <c r="F69" s="2">
        <v>4</v>
      </c>
      <c r="G69" s="2">
        <f t="shared" ca="1" si="8"/>
        <v>36587</v>
      </c>
      <c r="H69" s="2">
        <v>244452</v>
      </c>
      <c r="I69" s="2">
        <v>30756</v>
      </c>
      <c r="J69" s="2" t="s">
        <v>11</v>
      </c>
      <c r="K69" s="2" t="str">
        <f t="shared" si="9"/>
        <v>Kerala</v>
      </c>
      <c r="L69" s="3" t="str">
        <f t="shared" ca="1" si="10"/>
        <v>Female</v>
      </c>
      <c r="M69">
        <f t="shared" ca="1" si="11"/>
        <v>33</v>
      </c>
      <c r="N69" s="2" t="str">
        <f t="shared" ca="1" si="12"/>
        <v>Adult</v>
      </c>
      <c r="O69" t="str">
        <f t="shared" ca="1" si="13"/>
        <v>Pending</v>
      </c>
    </row>
    <row r="70" spans="1:15">
      <c r="A70" s="2">
        <v>1069</v>
      </c>
      <c r="B70" s="1">
        <v>46196</v>
      </c>
      <c r="C70" s="1" t="str">
        <f t="shared" si="7"/>
        <v>Jun</v>
      </c>
      <c r="D70" s="2" t="s">
        <v>18</v>
      </c>
      <c r="E70" s="2" t="s">
        <v>9</v>
      </c>
      <c r="F70" s="2">
        <v>6</v>
      </c>
      <c r="G70" s="2">
        <f t="shared" ca="1" si="8"/>
        <v>39241</v>
      </c>
      <c r="H70" s="2">
        <v>142152</v>
      </c>
      <c r="I70" s="2">
        <v>17022</v>
      </c>
      <c r="J70" s="2" t="s">
        <v>14</v>
      </c>
      <c r="K70" s="2" t="str">
        <f t="shared" si="9"/>
        <v>Madhya Pradesh</v>
      </c>
      <c r="L70" s="3" t="str">
        <f t="shared" ca="1" si="10"/>
        <v>Female</v>
      </c>
      <c r="M70">
        <f t="shared" ca="1" si="11"/>
        <v>58</v>
      </c>
      <c r="N70" s="2" t="str">
        <f t="shared" ca="1" si="12"/>
        <v>Adult</v>
      </c>
      <c r="O70" t="str">
        <f t="shared" ca="1" si="13"/>
        <v>Cancelled</v>
      </c>
    </row>
    <row r="71" spans="1:15">
      <c r="A71" s="2">
        <v>1070</v>
      </c>
      <c r="B71" s="1">
        <v>46171</v>
      </c>
      <c r="C71" s="1" t="str">
        <f t="shared" si="7"/>
        <v>May</v>
      </c>
      <c r="D71" s="2" t="s">
        <v>12</v>
      </c>
      <c r="E71" s="2" t="s">
        <v>9</v>
      </c>
      <c r="F71" s="2">
        <v>2</v>
      </c>
      <c r="G71" s="2">
        <f t="shared" ca="1" si="8"/>
        <v>37573</v>
      </c>
      <c r="H71" s="2">
        <v>104236</v>
      </c>
      <c r="I71" s="2">
        <v>12924</v>
      </c>
      <c r="J71" s="2" t="s">
        <v>14</v>
      </c>
      <c r="K71" s="2" t="str">
        <f t="shared" si="9"/>
        <v>Maharashtra</v>
      </c>
      <c r="L71" s="3" t="str">
        <f t="shared" ca="1" si="10"/>
        <v>Male</v>
      </c>
      <c r="M71">
        <f t="shared" ca="1" si="11"/>
        <v>39</v>
      </c>
      <c r="N71" s="2" t="str">
        <f t="shared" ca="1" si="12"/>
        <v>Adult</v>
      </c>
      <c r="O71" t="str">
        <f t="shared" ca="1" si="13"/>
        <v>Deliverd</v>
      </c>
    </row>
    <row r="72" spans="1:15">
      <c r="A72" s="2">
        <v>1071</v>
      </c>
      <c r="B72" s="1">
        <v>46111</v>
      </c>
      <c r="C72" s="1" t="str">
        <f t="shared" si="7"/>
        <v>Mar</v>
      </c>
      <c r="D72" s="2" t="s">
        <v>12</v>
      </c>
      <c r="E72" s="2" t="s">
        <v>9</v>
      </c>
      <c r="F72" s="2">
        <v>2</v>
      </c>
      <c r="G72" s="2">
        <f t="shared" ca="1" si="8"/>
        <v>7531</v>
      </c>
      <c r="H72" s="2">
        <v>148192</v>
      </c>
      <c r="I72" s="2">
        <v>17118</v>
      </c>
      <c r="J72" s="2" t="s">
        <v>14</v>
      </c>
      <c r="K72" s="2" t="str">
        <f t="shared" si="9"/>
        <v>Manipur</v>
      </c>
      <c r="L72" s="3" t="str">
        <f t="shared" ca="1" si="10"/>
        <v>Male</v>
      </c>
      <c r="M72">
        <f t="shared" ca="1" si="11"/>
        <v>38</v>
      </c>
      <c r="N72" s="2" t="str">
        <f t="shared" ca="1" si="12"/>
        <v>Adult</v>
      </c>
      <c r="O72" t="str">
        <f t="shared" ca="1" si="13"/>
        <v>Pending</v>
      </c>
    </row>
    <row r="73" spans="1:15">
      <c r="A73" s="2">
        <v>1072</v>
      </c>
      <c r="B73" s="1">
        <v>46121</v>
      </c>
      <c r="C73" s="1" t="str">
        <f t="shared" si="7"/>
        <v>Apr</v>
      </c>
      <c r="D73" s="2" t="s">
        <v>19</v>
      </c>
      <c r="E73" s="2" t="s">
        <v>20</v>
      </c>
      <c r="F73" s="2">
        <v>10</v>
      </c>
      <c r="G73" s="2">
        <f t="shared" ca="1" si="8"/>
        <v>41331</v>
      </c>
      <c r="H73" s="2">
        <v>133790</v>
      </c>
      <c r="I73" s="2">
        <v>14730</v>
      </c>
      <c r="J73" s="2" t="s">
        <v>10</v>
      </c>
      <c r="K73" s="2" t="str">
        <f t="shared" si="9"/>
        <v>Meghalaya</v>
      </c>
      <c r="L73" s="3" t="str">
        <f t="shared" ca="1" si="10"/>
        <v>Male</v>
      </c>
      <c r="M73">
        <f t="shared" ca="1" si="11"/>
        <v>40</v>
      </c>
      <c r="N73" s="2" t="str">
        <f t="shared" ca="1" si="12"/>
        <v>Adult</v>
      </c>
      <c r="O73" t="str">
        <f t="shared" ca="1" si="13"/>
        <v>Cancelled</v>
      </c>
    </row>
    <row r="74" spans="1:15">
      <c r="A74" s="2">
        <v>1073</v>
      </c>
      <c r="B74" s="1">
        <v>46156</v>
      </c>
      <c r="C74" s="1" t="str">
        <f t="shared" si="7"/>
        <v>May</v>
      </c>
      <c r="D74" s="2" t="s">
        <v>18</v>
      </c>
      <c r="E74" s="2" t="s">
        <v>9</v>
      </c>
      <c r="F74" s="2">
        <v>1</v>
      </c>
      <c r="G74" s="2">
        <f t="shared" ca="1" si="8"/>
        <v>12990</v>
      </c>
      <c r="H74" s="2">
        <v>21288</v>
      </c>
      <c r="I74" s="2">
        <v>1206</v>
      </c>
      <c r="J74" s="2" t="s">
        <v>10</v>
      </c>
      <c r="K74" s="2" t="str">
        <f t="shared" si="9"/>
        <v>Mizoram</v>
      </c>
      <c r="L74" s="3" t="str">
        <f t="shared" ca="1" si="10"/>
        <v>Male</v>
      </c>
      <c r="M74">
        <f t="shared" ca="1" si="11"/>
        <v>22</v>
      </c>
      <c r="N74" s="2" t="str">
        <f t="shared" ca="1" si="12"/>
        <v>Adult</v>
      </c>
      <c r="O74" t="str">
        <f t="shared" ca="1" si="13"/>
        <v>Cancelled</v>
      </c>
    </row>
    <row r="75" spans="1:15">
      <c r="A75" s="2">
        <v>1074</v>
      </c>
      <c r="B75" s="1">
        <v>46107</v>
      </c>
      <c r="C75" s="1" t="str">
        <f t="shared" si="7"/>
        <v>Mar</v>
      </c>
      <c r="D75" s="2" t="s">
        <v>15</v>
      </c>
      <c r="E75" s="2" t="s">
        <v>9</v>
      </c>
      <c r="F75" s="2">
        <v>7</v>
      </c>
      <c r="G75" s="2">
        <f t="shared" ca="1" si="8"/>
        <v>26178</v>
      </c>
      <c r="H75" s="2">
        <v>14511</v>
      </c>
      <c r="I75" s="2">
        <v>11620</v>
      </c>
      <c r="J75" s="2" t="s">
        <v>14</v>
      </c>
      <c r="K75" s="2" t="str">
        <f t="shared" si="9"/>
        <v>Nagaland</v>
      </c>
      <c r="L75" s="3" t="str">
        <f t="shared" ca="1" si="10"/>
        <v>Male</v>
      </c>
      <c r="M75">
        <f t="shared" ca="1" si="11"/>
        <v>49</v>
      </c>
      <c r="N75" s="2" t="str">
        <f t="shared" ca="1" si="12"/>
        <v>Adult</v>
      </c>
      <c r="O75" t="str">
        <f t="shared" ca="1" si="13"/>
        <v>Cancelled</v>
      </c>
    </row>
    <row r="76" spans="1:15">
      <c r="A76" s="2">
        <v>1075</v>
      </c>
      <c r="B76" s="1">
        <v>46193</v>
      </c>
      <c r="C76" s="1" t="str">
        <f t="shared" si="7"/>
        <v>Jun</v>
      </c>
      <c r="D76" s="2" t="s">
        <v>8</v>
      </c>
      <c r="E76" s="2" t="s">
        <v>9</v>
      </c>
      <c r="F76" s="2">
        <v>5</v>
      </c>
      <c r="G76" s="2">
        <f t="shared" ca="1" si="8"/>
        <v>23681</v>
      </c>
      <c r="H76" s="2">
        <v>7690</v>
      </c>
      <c r="I76" s="2">
        <v>1540</v>
      </c>
      <c r="J76" s="2" t="s">
        <v>16</v>
      </c>
      <c r="K76" s="2" t="str">
        <f t="shared" si="9"/>
        <v>Odisha</v>
      </c>
      <c r="L76" s="3" t="str">
        <f t="shared" ca="1" si="10"/>
        <v>Male</v>
      </c>
      <c r="M76">
        <f t="shared" ca="1" si="11"/>
        <v>40</v>
      </c>
      <c r="N76" s="2" t="str">
        <f t="shared" ca="1" si="12"/>
        <v>Adult</v>
      </c>
      <c r="O76" t="str">
        <f t="shared" ca="1" si="13"/>
        <v>Pending</v>
      </c>
    </row>
    <row r="77" spans="1:15">
      <c r="A77" s="2">
        <v>1076</v>
      </c>
      <c r="B77" s="1">
        <v>46055</v>
      </c>
      <c r="C77" s="1" t="str">
        <f t="shared" si="7"/>
        <v>Feb</v>
      </c>
      <c r="D77" s="2" t="s">
        <v>15</v>
      </c>
      <c r="E77" s="2" t="s">
        <v>9</v>
      </c>
      <c r="F77" s="2">
        <v>7</v>
      </c>
      <c r="G77" s="2">
        <f t="shared" ca="1" si="8"/>
        <v>42319</v>
      </c>
      <c r="H77" s="2">
        <v>27454</v>
      </c>
      <c r="I77" s="2">
        <v>10045</v>
      </c>
      <c r="J77" s="2" t="s">
        <v>10</v>
      </c>
      <c r="K77" s="2" t="str">
        <f t="shared" si="9"/>
        <v>Punjab</v>
      </c>
      <c r="L77" s="3" t="str">
        <f t="shared" ca="1" si="10"/>
        <v>Male</v>
      </c>
      <c r="M77">
        <f t="shared" ca="1" si="11"/>
        <v>24</v>
      </c>
      <c r="N77" s="2" t="str">
        <f t="shared" ca="1" si="12"/>
        <v>Adult</v>
      </c>
      <c r="O77" t="str">
        <f t="shared" ca="1" si="13"/>
        <v>Deliverd</v>
      </c>
    </row>
    <row r="78" spans="1:15">
      <c r="A78" s="2">
        <v>1077</v>
      </c>
      <c r="B78" s="1">
        <v>46100</v>
      </c>
      <c r="C78" s="1" t="str">
        <f t="shared" si="7"/>
        <v>Mar</v>
      </c>
      <c r="D78" s="2" t="s">
        <v>19</v>
      </c>
      <c r="E78" s="2" t="s">
        <v>20</v>
      </c>
      <c r="F78" s="2">
        <v>7</v>
      </c>
      <c r="G78" s="2">
        <f t="shared" ca="1" si="8"/>
        <v>49725</v>
      </c>
      <c r="H78" s="2">
        <v>54957</v>
      </c>
      <c r="I78" s="2">
        <v>23317</v>
      </c>
      <c r="J78" s="2" t="s">
        <v>16</v>
      </c>
      <c r="K78" s="2" t="str">
        <f t="shared" si="9"/>
        <v>Rajasthan</v>
      </c>
      <c r="L78" s="3" t="str">
        <f t="shared" ca="1" si="10"/>
        <v>Male</v>
      </c>
      <c r="M78">
        <f t="shared" ca="1" si="11"/>
        <v>39</v>
      </c>
      <c r="N78" s="2" t="str">
        <f t="shared" ca="1" si="12"/>
        <v>Adult</v>
      </c>
      <c r="O78" t="str">
        <f t="shared" ca="1" si="13"/>
        <v>Cancelled</v>
      </c>
    </row>
    <row r="79" spans="1:15">
      <c r="A79" s="2">
        <v>1078</v>
      </c>
      <c r="B79" s="1">
        <v>46133</v>
      </c>
      <c r="C79" s="1" t="str">
        <f t="shared" si="7"/>
        <v>Apr</v>
      </c>
      <c r="D79" s="2" t="s">
        <v>12</v>
      </c>
      <c r="E79" s="2" t="s">
        <v>9</v>
      </c>
      <c r="F79" s="2">
        <v>5</v>
      </c>
      <c r="G79" s="2">
        <f t="shared" ca="1" si="8"/>
        <v>21405</v>
      </c>
      <c r="H79" s="2">
        <v>269015</v>
      </c>
      <c r="I79" s="2">
        <v>33605</v>
      </c>
      <c r="J79" s="2" t="s">
        <v>14</v>
      </c>
      <c r="K79" s="2" t="str">
        <f t="shared" si="9"/>
        <v>Sikkim</v>
      </c>
      <c r="L79" s="3" t="str">
        <f t="shared" ca="1" si="10"/>
        <v>Female</v>
      </c>
      <c r="M79">
        <f t="shared" ca="1" si="11"/>
        <v>45</v>
      </c>
      <c r="N79" s="2" t="str">
        <f t="shared" ca="1" si="12"/>
        <v>Adult</v>
      </c>
      <c r="O79" t="str">
        <f t="shared" ca="1" si="13"/>
        <v>Cancelled</v>
      </c>
    </row>
    <row r="80" spans="1:15">
      <c r="A80" s="2">
        <v>1079</v>
      </c>
      <c r="B80" s="1">
        <v>46077</v>
      </c>
      <c r="C80" s="1" t="str">
        <f t="shared" si="7"/>
        <v>Feb</v>
      </c>
      <c r="D80" s="2" t="s">
        <v>21</v>
      </c>
      <c r="E80" s="2" t="s">
        <v>20</v>
      </c>
      <c r="F80" s="2">
        <v>8</v>
      </c>
      <c r="G80" s="2">
        <f t="shared" ca="1" si="8"/>
        <v>46030</v>
      </c>
      <c r="H80" s="2">
        <v>113952</v>
      </c>
      <c r="I80" s="2">
        <v>31736</v>
      </c>
      <c r="J80" s="2" t="s">
        <v>16</v>
      </c>
      <c r="K80" s="2" t="str">
        <f t="shared" si="9"/>
        <v>Tamil Nadu</v>
      </c>
      <c r="L80" s="3" t="str">
        <f t="shared" ca="1" si="10"/>
        <v>Female</v>
      </c>
      <c r="M80">
        <f t="shared" ca="1" si="11"/>
        <v>55</v>
      </c>
      <c r="N80" s="2" t="str">
        <f t="shared" ca="1" si="12"/>
        <v>Adult</v>
      </c>
      <c r="O80" t="str">
        <f t="shared" ca="1" si="13"/>
        <v>Pending</v>
      </c>
    </row>
    <row r="81" spans="1:15">
      <c r="A81" s="2">
        <v>1080</v>
      </c>
      <c r="B81" s="1">
        <v>46192</v>
      </c>
      <c r="C81" s="1" t="str">
        <f t="shared" si="7"/>
        <v>Jun</v>
      </c>
      <c r="D81" s="2" t="s">
        <v>17</v>
      </c>
      <c r="E81" s="2" t="s">
        <v>9</v>
      </c>
      <c r="F81" s="2">
        <v>2</v>
      </c>
      <c r="G81" s="2">
        <f t="shared" ca="1" si="8"/>
        <v>6308</v>
      </c>
      <c r="H81" s="2">
        <v>4324</v>
      </c>
      <c r="I81" s="2">
        <v>1554</v>
      </c>
      <c r="J81" s="2" t="s">
        <v>14</v>
      </c>
      <c r="K81" s="2" t="str">
        <f t="shared" si="9"/>
        <v>Telangana</v>
      </c>
      <c r="L81" s="3" t="str">
        <f t="shared" ca="1" si="10"/>
        <v>Male</v>
      </c>
      <c r="M81">
        <f t="shared" ca="1" si="11"/>
        <v>49</v>
      </c>
      <c r="N81" s="2" t="str">
        <f t="shared" ca="1" si="12"/>
        <v>Adult</v>
      </c>
      <c r="O81" t="str">
        <f t="shared" ca="1" si="13"/>
        <v>Cancelled</v>
      </c>
    </row>
    <row r="82" spans="1:15">
      <c r="A82" s="2">
        <v>1081</v>
      </c>
      <c r="B82" s="1">
        <v>46080</v>
      </c>
      <c r="C82" s="1" t="str">
        <f t="shared" si="7"/>
        <v>Feb</v>
      </c>
      <c r="D82" s="2" t="s">
        <v>8</v>
      </c>
      <c r="E82" s="2" t="s">
        <v>9</v>
      </c>
      <c r="F82" s="2">
        <v>4</v>
      </c>
      <c r="G82" s="2">
        <f t="shared" ca="1" si="8"/>
        <v>45830</v>
      </c>
      <c r="H82" s="2">
        <v>7508</v>
      </c>
      <c r="I82" s="2">
        <v>1232</v>
      </c>
      <c r="J82" s="2" t="s">
        <v>10</v>
      </c>
      <c r="K82" s="2" t="str">
        <f t="shared" si="9"/>
        <v>Tripura</v>
      </c>
      <c r="L82" s="3" t="str">
        <f t="shared" ca="1" si="10"/>
        <v>Female</v>
      </c>
      <c r="M82">
        <f t="shared" ca="1" si="11"/>
        <v>53</v>
      </c>
      <c r="N82" s="2" t="str">
        <f t="shared" ca="1" si="12"/>
        <v>Adult</v>
      </c>
      <c r="O82" t="str">
        <f t="shared" ca="1" si="13"/>
        <v>Pending</v>
      </c>
    </row>
    <row r="83" spans="1:15">
      <c r="A83" s="2">
        <v>1082</v>
      </c>
      <c r="B83" s="1">
        <v>46144</v>
      </c>
      <c r="C83" s="1" t="str">
        <f t="shared" si="7"/>
        <v>May</v>
      </c>
      <c r="D83" s="2" t="s">
        <v>17</v>
      </c>
      <c r="E83" s="2" t="s">
        <v>9</v>
      </c>
      <c r="F83" s="2">
        <v>1</v>
      </c>
      <c r="G83" s="2">
        <f t="shared" ca="1" si="8"/>
        <v>29370</v>
      </c>
      <c r="H83" s="2">
        <v>1189</v>
      </c>
      <c r="I83" s="2">
        <v>500</v>
      </c>
      <c r="J83" s="2" t="s">
        <v>11</v>
      </c>
      <c r="K83" s="2" t="str">
        <f t="shared" si="9"/>
        <v>Uttar Pradesh</v>
      </c>
      <c r="L83" s="3" t="str">
        <f t="shared" ca="1" si="10"/>
        <v>Female</v>
      </c>
      <c r="M83">
        <f t="shared" ca="1" si="11"/>
        <v>58</v>
      </c>
      <c r="N83" s="2" t="str">
        <f t="shared" ca="1" si="12"/>
        <v>Adult</v>
      </c>
      <c r="O83" t="str">
        <f t="shared" ca="1" si="13"/>
        <v>Pending</v>
      </c>
    </row>
    <row r="84" spans="1:15">
      <c r="A84" s="2">
        <v>1083</v>
      </c>
      <c r="B84" s="1">
        <v>46072</v>
      </c>
      <c r="C84" s="1" t="str">
        <f t="shared" si="7"/>
        <v>Feb</v>
      </c>
      <c r="D84" s="2" t="s">
        <v>21</v>
      </c>
      <c r="E84" s="2" t="s">
        <v>20</v>
      </c>
      <c r="F84" s="2">
        <v>7</v>
      </c>
      <c r="G84" s="2">
        <f t="shared" ca="1" si="8"/>
        <v>740</v>
      </c>
      <c r="H84" s="2">
        <v>121226</v>
      </c>
      <c r="I84" s="2">
        <v>24899</v>
      </c>
      <c r="J84" s="2" t="s">
        <v>16</v>
      </c>
      <c r="K84" s="2" t="str">
        <f t="shared" si="9"/>
        <v>Uttarakhand</v>
      </c>
      <c r="L84" s="3" t="str">
        <f t="shared" ca="1" si="10"/>
        <v>Male</v>
      </c>
      <c r="M84">
        <f t="shared" ca="1" si="11"/>
        <v>53</v>
      </c>
      <c r="N84" s="2" t="str">
        <f t="shared" ca="1" si="12"/>
        <v>Adult</v>
      </c>
      <c r="O84" t="str">
        <f t="shared" ca="1" si="13"/>
        <v>Deliverd</v>
      </c>
    </row>
    <row r="85" spans="1:15">
      <c r="A85" s="2">
        <v>1084</v>
      </c>
      <c r="B85" s="1">
        <v>46190</v>
      </c>
      <c r="C85" s="1" t="str">
        <f t="shared" si="7"/>
        <v>Jun</v>
      </c>
      <c r="D85" s="2" t="s">
        <v>21</v>
      </c>
      <c r="E85" s="2" t="s">
        <v>20</v>
      </c>
      <c r="F85" s="2">
        <v>7</v>
      </c>
      <c r="G85" s="2">
        <f t="shared" ca="1" si="8"/>
        <v>23087</v>
      </c>
      <c r="H85" s="2">
        <v>76979</v>
      </c>
      <c r="I85" s="2">
        <v>12628</v>
      </c>
      <c r="J85" s="2" t="s">
        <v>11</v>
      </c>
      <c r="K85" s="2" t="str">
        <f t="shared" si="9"/>
        <v>West Bengal</v>
      </c>
      <c r="L85" s="3" t="str">
        <f t="shared" ca="1" si="10"/>
        <v>Female</v>
      </c>
      <c r="M85">
        <f t="shared" ca="1" si="11"/>
        <v>42</v>
      </c>
      <c r="N85" s="2" t="str">
        <f t="shared" ca="1" si="12"/>
        <v>Adult</v>
      </c>
      <c r="O85" t="str">
        <f t="shared" ca="1" si="13"/>
        <v>Deliverd</v>
      </c>
    </row>
    <row r="86" spans="1:15">
      <c r="A86" s="2">
        <v>1085</v>
      </c>
      <c r="B86" s="1">
        <v>46201</v>
      </c>
      <c r="C86" s="1" t="str">
        <f t="shared" si="7"/>
        <v>Jun</v>
      </c>
      <c r="D86" s="2" t="s">
        <v>8</v>
      </c>
      <c r="E86" s="2" t="s">
        <v>9</v>
      </c>
      <c r="F86" s="2">
        <v>7</v>
      </c>
      <c r="G86" s="2">
        <f t="shared" ca="1" si="8"/>
        <v>9937</v>
      </c>
      <c r="H86" s="2">
        <v>6636</v>
      </c>
      <c r="I86" s="2">
        <v>1680</v>
      </c>
      <c r="J86" s="2" t="s">
        <v>16</v>
      </c>
      <c r="K86" s="2" t="str">
        <f t="shared" si="9"/>
        <v>Andhra Pradesh</v>
      </c>
      <c r="L86" s="3" t="str">
        <f t="shared" ca="1" si="10"/>
        <v>Male</v>
      </c>
      <c r="M86">
        <f t="shared" ca="1" si="11"/>
        <v>54</v>
      </c>
      <c r="N86" s="2" t="str">
        <f t="shared" ca="1" si="12"/>
        <v>Adult</v>
      </c>
      <c r="O86" t="str">
        <f t="shared" ca="1" si="13"/>
        <v>Cancelled</v>
      </c>
    </row>
    <row r="87" spans="1:15">
      <c r="A87" s="2">
        <v>1086</v>
      </c>
      <c r="B87" s="1">
        <v>46054</v>
      </c>
      <c r="C87" s="1" t="str">
        <f t="shared" si="7"/>
        <v>Feb</v>
      </c>
      <c r="D87" s="2" t="s">
        <v>12</v>
      </c>
      <c r="E87" s="2" t="s">
        <v>9</v>
      </c>
      <c r="F87" s="2">
        <v>9</v>
      </c>
      <c r="G87" s="2">
        <f t="shared" ca="1" si="8"/>
        <v>48620</v>
      </c>
      <c r="H87" s="2">
        <v>461979</v>
      </c>
      <c r="I87" s="2">
        <v>107541</v>
      </c>
      <c r="J87" s="2" t="s">
        <v>16</v>
      </c>
      <c r="K87" s="2" t="str">
        <f t="shared" si="9"/>
        <v>Arunachal Pradesh</v>
      </c>
      <c r="L87" s="3" t="str">
        <f t="shared" ca="1" si="10"/>
        <v>Male</v>
      </c>
      <c r="M87">
        <f t="shared" ca="1" si="11"/>
        <v>40</v>
      </c>
      <c r="N87" s="2" t="str">
        <f t="shared" ca="1" si="12"/>
        <v>Adult</v>
      </c>
      <c r="O87" t="str">
        <f t="shared" ca="1" si="13"/>
        <v>Cancelled</v>
      </c>
    </row>
    <row r="88" spans="1:15">
      <c r="A88" s="2">
        <v>1087</v>
      </c>
      <c r="B88" s="1">
        <v>46175</v>
      </c>
      <c r="C88" s="1" t="str">
        <f t="shared" si="7"/>
        <v>Jun</v>
      </c>
      <c r="D88" s="2" t="s">
        <v>17</v>
      </c>
      <c r="E88" s="2" t="s">
        <v>9</v>
      </c>
      <c r="F88" s="2">
        <v>8</v>
      </c>
      <c r="G88" s="2">
        <f t="shared" ca="1" si="8"/>
        <v>5666</v>
      </c>
      <c r="H88" s="2">
        <v>25400</v>
      </c>
      <c r="I88" s="2">
        <v>6576</v>
      </c>
      <c r="J88" s="2" t="s">
        <v>14</v>
      </c>
      <c r="K88" s="2" t="str">
        <f t="shared" si="9"/>
        <v>Assam</v>
      </c>
      <c r="L88" s="3" t="str">
        <f t="shared" ca="1" si="10"/>
        <v>Male</v>
      </c>
      <c r="M88">
        <f t="shared" ca="1" si="11"/>
        <v>22</v>
      </c>
      <c r="N88" s="2" t="str">
        <f t="shared" ca="1" si="12"/>
        <v>Adult</v>
      </c>
      <c r="O88" t="str">
        <f t="shared" ca="1" si="13"/>
        <v>Deliverd</v>
      </c>
    </row>
    <row r="89" spans="1:15">
      <c r="A89" s="2">
        <v>1088</v>
      </c>
      <c r="B89" s="1">
        <v>46132</v>
      </c>
      <c r="C89" s="1" t="str">
        <f t="shared" si="7"/>
        <v>Apr</v>
      </c>
      <c r="D89" s="2" t="s">
        <v>21</v>
      </c>
      <c r="E89" s="2" t="s">
        <v>20</v>
      </c>
      <c r="F89" s="2">
        <v>10</v>
      </c>
      <c r="G89" s="2">
        <f t="shared" ca="1" si="8"/>
        <v>38939</v>
      </c>
      <c r="H89" s="2">
        <v>187840</v>
      </c>
      <c r="I89" s="2">
        <v>32670</v>
      </c>
      <c r="J89" s="2" t="s">
        <v>16</v>
      </c>
      <c r="K89" s="2" t="str">
        <f t="shared" si="9"/>
        <v>Bihar</v>
      </c>
      <c r="L89" s="3" t="str">
        <f t="shared" ca="1" si="10"/>
        <v>Female</v>
      </c>
      <c r="M89">
        <f t="shared" ca="1" si="11"/>
        <v>57</v>
      </c>
      <c r="N89" s="2" t="str">
        <f t="shared" ca="1" si="12"/>
        <v>Adult</v>
      </c>
      <c r="O89" t="str">
        <f t="shared" ca="1" si="13"/>
        <v>Cancelled</v>
      </c>
    </row>
    <row r="90" spans="1:15">
      <c r="A90" s="2">
        <v>1089</v>
      </c>
      <c r="B90" s="1">
        <v>46086</v>
      </c>
      <c r="C90" s="1" t="str">
        <f t="shared" si="7"/>
        <v>Mar</v>
      </c>
      <c r="D90" s="2" t="s">
        <v>17</v>
      </c>
      <c r="E90" s="2" t="s">
        <v>9</v>
      </c>
      <c r="F90" s="2">
        <v>8</v>
      </c>
      <c r="G90" s="2">
        <f t="shared" ca="1" si="8"/>
        <v>34667</v>
      </c>
      <c r="H90" s="2">
        <v>22744</v>
      </c>
      <c r="I90" s="2">
        <v>4120</v>
      </c>
      <c r="J90" s="2" t="s">
        <v>14</v>
      </c>
      <c r="K90" s="2" t="str">
        <f t="shared" si="9"/>
        <v>Chhattisgarh</v>
      </c>
      <c r="L90" s="3" t="str">
        <f t="shared" ca="1" si="10"/>
        <v>Female</v>
      </c>
      <c r="M90">
        <f t="shared" ca="1" si="11"/>
        <v>40</v>
      </c>
      <c r="N90" s="2" t="str">
        <f t="shared" ca="1" si="12"/>
        <v>Adult</v>
      </c>
      <c r="O90" t="str">
        <f t="shared" ca="1" si="13"/>
        <v>Cancelled</v>
      </c>
    </row>
    <row r="91" spans="1:15">
      <c r="A91" s="2">
        <v>1090</v>
      </c>
      <c r="B91" s="1">
        <v>46042</v>
      </c>
      <c r="C91" s="1" t="str">
        <f t="shared" si="7"/>
        <v>Jan</v>
      </c>
      <c r="D91" s="2" t="s">
        <v>21</v>
      </c>
      <c r="E91" s="2" t="s">
        <v>20</v>
      </c>
      <c r="F91" s="2">
        <v>4</v>
      </c>
      <c r="G91" s="2">
        <f t="shared" ca="1" si="8"/>
        <v>46907</v>
      </c>
      <c r="H91" s="2">
        <v>45996</v>
      </c>
      <c r="I91" s="2">
        <v>12004</v>
      </c>
      <c r="J91" s="2" t="s">
        <v>14</v>
      </c>
      <c r="K91" s="2" t="str">
        <f t="shared" si="9"/>
        <v>Goa</v>
      </c>
      <c r="L91" s="3" t="str">
        <f t="shared" ca="1" si="10"/>
        <v>Male</v>
      </c>
      <c r="M91">
        <f t="shared" ca="1" si="11"/>
        <v>26</v>
      </c>
      <c r="N91" s="2" t="str">
        <f t="shared" ca="1" si="12"/>
        <v>Adult</v>
      </c>
      <c r="O91" t="str">
        <f t="shared" ca="1" si="13"/>
        <v>Deliverd</v>
      </c>
    </row>
    <row r="92" spans="1:15">
      <c r="A92" s="2">
        <v>1091</v>
      </c>
      <c r="B92" s="1">
        <v>46161</v>
      </c>
      <c r="C92" s="1" t="str">
        <f t="shared" si="7"/>
        <v>May</v>
      </c>
      <c r="D92" s="2" t="s">
        <v>13</v>
      </c>
      <c r="E92" s="2" t="s">
        <v>9</v>
      </c>
      <c r="F92" s="2">
        <v>5</v>
      </c>
      <c r="G92" s="2">
        <f t="shared" ca="1" si="8"/>
        <v>31311</v>
      </c>
      <c r="H92" s="2">
        <v>95025</v>
      </c>
      <c r="I92" s="2">
        <v>20595</v>
      </c>
      <c r="J92" s="2" t="s">
        <v>11</v>
      </c>
      <c r="K92" s="2" t="str">
        <f t="shared" si="9"/>
        <v>Gujarat</v>
      </c>
      <c r="L92" s="3" t="str">
        <f t="shared" ca="1" si="10"/>
        <v>Male</v>
      </c>
      <c r="M92">
        <f t="shared" ca="1" si="11"/>
        <v>41</v>
      </c>
      <c r="N92" s="2" t="str">
        <f t="shared" ca="1" si="12"/>
        <v>Adult</v>
      </c>
      <c r="O92" t="str">
        <f t="shared" ca="1" si="13"/>
        <v>Cancelled</v>
      </c>
    </row>
    <row r="93" spans="1:15">
      <c r="A93" s="2">
        <v>1092</v>
      </c>
      <c r="B93" s="1">
        <v>46200</v>
      </c>
      <c r="C93" s="1" t="str">
        <f t="shared" si="7"/>
        <v>Jun</v>
      </c>
      <c r="D93" s="2" t="s">
        <v>17</v>
      </c>
      <c r="E93" s="2" t="s">
        <v>9</v>
      </c>
      <c r="F93" s="2">
        <v>3</v>
      </c>
      <c r="G93" s="2">
        <f t="shared" ca="1" si="8"/>
        <v>27785</v>
      </c>
      <c r="H93" s="2">
        <v>5841</v>
      </c>
      <c r="I93" s="2">
        <v>1926</v>
      </c>
      <c r="J93" s="2" t="s">
        <v>10</v>
      </c>
      <c r="K93" s="2" t="str">
        <f t="shared" si="9"/>
        <v>Haryana</v>
      </c>
      <c r="L93" s="3" t="str">
        <f t="shared" ca="1" si="10"/>
        <v>Male</v>
      </c>
      <c r="M93">
        <f t="shared" ca="1" si="11"/>
        <v>32</v>
      </c>
      <c r="N93" s="2" t="str">
        <f t="shared" ca="1" si="12"/>
        <v>Adult</v>
      </c>
      <c r="O93" t="str">
        <f t="shared" ca="1" si="13"/>
        <v>Pending</v>
      </c>
    </row>
    <row r="94" spans="1:15">
      <c r="A94" s="2">
        <v>1093</v>
      </c>
      <c r="B94" s="1">
        <v>46107</v>
      </c>
      <c r="C94" s="1" t="str">
        <f t="shared" si="7"/>
        <v>Mar</v>
      </c>
      <c r="D94" s="2" t="s">
        <v>13</v>
      </c>
      <c r="E94" s="2" t="s">
        <v>9</v>
      </c>
      <c r="F94" s="2">
        <v>2</v>
      </c>
      <c r="G94" s="2">
        <f t="shared" ca="1" si="8"/>
        <v>29813</v>
      </c>
      <c r="H94" s="2">
        <v>43188</v>
      </c>
      <c r="I94" s="2">
        <v>9678</v>
      </c>
      <c r="J94" s="2" t="s">
        <v>16</v>
      </c>
      <c r="K94" s="2" t="str">
        <f t="shared" si="9"/>
        <v>Himachal Pradesh</v>
      </c>
      <c r="L94" s="3" t="str">
        <f t="shared" ca="1" si="10"/>
        <v>Male</v>
      </c>
      <c r="M94">
        <f t="shared" ca="1" si="11"/>
        <v>47</v>
      </c>
      <c r="N94" s="2" t="str">
        <f t="shared" ca="1" si="12"/>
        <v>Adult</v>
      </c>
      <c r="O94" t="str">
        <f t="shared" ca="1" si="13"/>
        <v>Deliverd</v>
      </c>
    </row>
    <row r="95" spans="1:15">
      <c r="A95" s="2">
        <v>1094</v>
      </c>
      <c r="B95" s="1">
        <v>46122</v>
      </c>
      <c r="C95" s="1" t="str">
        <f t="shared" si="7"/>
        <v>Apr</v>
      </c>
      <c r="D95" s="2" t="s">
        <v>19</v>
      </c>
      <c r="E95" s="2" t="s">
        <v>20</v>
      </c>
      <c r="F95" s="2">
        <v>1</v>
      </c>
      <c r="G95" s="2">
        <f t="shared" ca="1" si="8"/>
        <v>36667</v>
      </c>
      <c r="H95" s="2">
        <v>8388</v>
      </c>
      <c r="I95" s="2">
        <v>2720</v>
      </c>
      <c r="J95" s="2" t="s">
        <v>11</v>
      </c>
      <c r="K95" s="2" t="str">
        <f t="shared" si="9"/>
        <v>Jharkhand</v>
      </c>
      <c r="L95" s="3" t="str">
        <f t="shared" ca="1" si="10"/>
        <v>Female</v>
      </c>
      <c r="M95">
        <f t="shared" ca="1" si="11"/>
        <v>41</v>
      </c>
      <c r="N95" s="2" t="str">
        <f t="shared" ca="1" si="12"/>
        <v>Adult</v>
      </c>
      <c r="O95" t="str">
        <f t="shared" ca="1" si="13"/>
        <v>Pending</v>
      </c>
    </row>
    <row r="96" spans="1:15">
      <c r="A96" s="2">
        <v>1095</v>
      </c>
      <c r="B96" s="1">
        <v>46099</v>
      </c>
      <c r="C96" s="1" t="str">
        <f t="shared" si="7"/>
        <v>Mar</v>
      </c>
      <c r="D96" s="2" t="s">
        <v>19</v>
      </c>
      <c r="E96" s="2" t="s">
        <v>20</v>
      </c>
      <c r="F96" s="2">
        <v>8</v>
      </c>
      <c r="G96" s="2">
        <f t="shared" ca="1" si="8"/>
        <v>23567</v>
      </c>
      <c r="H96" s="2">
        <v>40768</v>
      </c>
      <c r="I96" s="2">
        <v>19520</v>
      </c>
      <c r="J96" s="2" t="s">
        <v>16</v>
      </c>
      <c r="K96" s="2" t="str">
        <f t="shared" si="9"/>
        <v>Karnataka</v>
      </c>
      <c r="L96" s="3" t="str">
        <f t="shared" ca="1" si="10"/>
        <v>Male</v>
      </c>
      <c r="M96">
        <f t="shared" ca="1" si="11"/>
        <v>31</v>
      </c>
      <c r="N96" s="2" t="str">
        <f t="shared" ca="1" si="12"/>
        <v>Adult</v>
      </c>
      <c r="O96" t="str">
        <f t="shared" ca="1" si="13"/>
        <v>Deliverd</v>
      </c>
    </row>
    <row r="97" spans="1:15">
      <c r="A97" s="2">
        <v>1096</v>
      </c>
      <c r="B97" s="1">
        <v>46079</v>
      </c>
      <c r="C97" s="1" t="str">
        <f t="shared" si="7"/>
        <v>Feb</v>
      </c>
      <c r="D97" s="2" t="s">
        <v>19</v>
      </c>
      <c r="E97" s="2" t="s">
        <v>20</v>
      </c>
      <c r="F97" s="2">
        <v>9</v>
      </c>
      <c r="G97" s="2">
        <f t="shared" ca="1" si="8"/>
        <v>21480</v>
      </c>
      <c r="H97" s="2">
        <v>125523</v>
      </c>
      <c r="I97" s="2">
        <v>31230</v>
      </c>
      <c r="J97" s="2" t="s">
        <v>16</v>
      </c>
      <c r="K97" s="2" t="str">
        <f t="shared" si="9"/>
        <v>Kerala</v>
      </c>
      <c r="L97" s="3" t="str">
        <f t="shared" ca="1" si="10"/>
        <v>Female</v>
      </c>
      <c r="M97">
        <f t="shared" ca="1" si="11"/>
        <v>26</v>
      </c>
      <c r="N97" s="2" t="str">
        <f t="shared" ca="1" si="12"/>
        <v>Adult</v>
      </c>
      <c r="O97" t="str">
        <f t="shared" ca="1" si="13"/>
        <v>Cancelled</v>
      </c>
    </row>
    <row r="98" spans="1:15">
      <c r="A98" s="2">
        <v>1097</v>
      </c>
      <c r="B98" s="1">
        <v>46030</v>
      </c>
      <c r="C98" s="1" t="str">
        <f t="shared" si="7"/>
        <v>Jan</v>
      </c>
      <c r="D98" s="2" t="s">
        <v>13</v>
      </c>
      <c r="E98" s="2" t="s">
        <v>9</v>
      </c>
      <c r="F98" s="2">
        <v>5</v>
      </c>
      <c r="G98" s="2">
        <f t="shared" ca="1" si="8"/>
        <v>31347</v>
      </c>
      <c r="H98" s="2">
        <v>111405</v>
      </c>
      <c r="I98" s="2">
        <v>27390</v>
      </c>
      <c r="J98" s="2" t="s">
        <v>16</v>
      </c>
      <c r="K98" s="2" t="str">
        <f t="shared" si="9"/>
        <v>Madhya Pradesh</v>
      </c>
      <c r="L98" s="3" t="str">
        <f t="shared" ca="1" si="10"/>
        <v>Female</v>
      </c>
      <c r="M98">
        <f t="shared" ca="1" si="11"/>
        <v>23</v>
      </c>
      <c r="N98" s="2" t="str">
        <f t="shared" ca="1" si="12"/>
        <v>Adult</v>
      </c>
      <c r="O98" t="str">
        <f t="shared" ca="1" si="13"/>
        <v>Pending</v>
      </c>
    </row>
    <row r="99" spans="1:15">
      <c r="A99" s="2">
        <v>1098</v>
      </c>
      <c r="B99" s="1">
        <v>46055</v>
      </c>
      <c r="C99" s="1" t="str">
        <f t="shared" si="7"/>
        <v>Feb</v>
      </c>
      <c r="D99" s="2" t="s">
        <v>15</v>
      </c>
      <c r="E99" s="2" t="s">
        <v>9</v>
      </c>
      <c r="F99" s="2">
        <v>7</v>
      </c>
      <c r="G99" s="2">
        <f t="shared" ca="1" si="8"/>
        <v>43334</v>
      </c>
      <c r="H99" s="2">
        <v>19964</v>
      </c>
      <c r="I99" s="2">
        <v>8799</v>
      </c>
      <c r="J99" s="2" t="s">
        <v>11</v>
      </c>
      <c r="K99" s="2" t="str">
        <f t="shared" si="9"/>
        <v>Maharashtra</v>
      </c>
      <c r="L99" s="3" t="str">
        <f t="shared" ca="1" si="10"/>
        <v>Male</v>
      </c>
      <c r="M99">
        <f t="shared" ca="1" si="11"/>
        <v>50</v>
      </c>
      <c r="N99" s="2" t="str">
        <f t="shared" ca="1" si="12"/>
        <v>Adult</v>
      </c>
      <c r="O99" t="str">
        <f t="shared" ca="1" si="13"/>
        <v>Pending</v>
      </c>
    </row>
    <row r="100" spans="1:15">
      <c r="A100" s="2">
        <v>1099</v>
      </c>
      <c r="B100" s="1">
        <v>46044</v>
      </c>
      <c r="C100" s="1" t="str">
        <f t="shared" si="7"/>
        <v>Jan</v>
      </c>
      <c r="D100" s="2" t="s">
        <v>19</v>
      </c>
      <c r="E100" s="2" t="s">
        <v>20</v>
      </c>
      <c r="F100" s="2">
        <v>10</v>
      </c>
      <c r="G100" s="2">
        <f t="shared" ca="1" si="8"/>
        <v>29621</v>
      </c>
      <c r="H100" s="2">
        <v>142460</v>
      </c>
      <c r="I100" s="2">
        <v>11110</v>
      </c>
      <c r="J100" s="2" t="s">
        <v>16</v>
      </c>
      <c r="K100" s="2" t="str">
        <f t="shared" si="9"/>
        <v>Manipur</v>
      </c>
      <c r="L100" s="3" t="str">
        <f t="shared" ca="1" si="10"/>
        <v>Female</v>
      </c>
      <c r="M100">
        <f t="shared" ca="1" si="11"/>
        <v>44</v>
      </c>
      <c r="N100" s="2" t="str">
        <f t="shared" ca="1" si="12"/>
        <v>Adult</v>
      </c>
      <c r="O100" t="str">
        <f t="shared" ca="1" si="13"/>
        <v>Cancelled</v>
      </c>
    </row>
    <row r="101" spans="1:15">
      <c r="A101" s="2">
        <v>1100</v>
      </c>
      <c r="B101" s="1">
        <v>46089</v>
      </c>
      <c r="C101" s="1" t="str">
        <f t="shared" si="7"/>
        <v>Mar</v>
      </c>
      <c r="D101" s="2" t="s">
        <v>17</v>
      </c>
      <c r="E101" s="2" t="s">
        <v>9</v>
      </c>
      <c r="F101" s="2">
        <v>8</v>
      </c>
      <c r="G101" s="2">
        <f t="shared" ca="1" si="8"/>
        <v>19523</v>
      </c>
      <c r="H101" s="2">
        <v>13952</v>
      </c>
      <c r="I101" s="2">
        <v>2408</v>
      </c>
      <c r="J101" s="2" t="s">
        <v>16</v>
      </c>
      <c r="K101" s="2" t="str">
        <f t="shared" si="9"/>
        <v>Meghalaya</v>
      </c>
      <c r="L101" s="3" t="str">
        <f t="shared" ca="1" si="10"/>
        <v>Female</v>
      </c>
      <c r="M101">
        <f t="shared" ca="1" si="11"/>
        <v>50</v>
      </c>
      <c r="N101" s="2" t="str">
        <f t="shared" ca="1" si="12"/>
        <v>Adult</v>
      </c>
      <c r="O101" t="str">
        <f t="shared" ca="1" si="13"/>
        <v>Cancelled</v>
      </c>
    </row>
    <row r="102" spans="1:15">
      <c r="A102" s="2">
        <v>1101</v>
      </c>
      <c r="B102" s="1">
        <v>46109</v>
      </c>
      <c r="C102" s="1" t="str">
        <f t="shared" si="7"/>
        <v>Mar</v>
      </c>
      <c r="D102" s="2" t="s">
        <v>15</v>
      </c>
      <c r="E102" s="2" t="s">
        <v>9</v>
      </c>
      <c r="F102" s="2">
        <v>4</v>
      </c>
      <c r="G102" s="2">
        <f t="shared" ca="1" si="8"/>
        <v>21702</v>
      </c>
      <c r="H102" s="2">
        <v>20896</v>
      </c>
      <c r="I102" s="2">
        <v>3876</v>
      </c>
      <c r="J102" s="2" t="s">
        <v>16</v>
      </c>
      <c r="K102" s="2" t="str">
        <f t="shared" si="9"/>
        <v>Mizoram</v>
      </c>
      <c r="L102" s="3" t="str">
        <f t="shared" ca="1" si="10"/>
        <v>Female</v>
      </c>
      <c r="M102">
        <f t="shared" ca="1" si="11"/>
        <v>18</v>
      </c>
      <c r="N102" s="2" t="str">
        <f t="shared" ca="1" si="12"/>
        <v>Teenager</v>
      </c>
      <c r="O102" t="str">
        <f t="shared" ca="1" si="13"/>
        <v>Cancelled</v>
      </c>
    </row>
    <row r="103" spans="1:15">
      <c r="A103" s="2">
        <v>1102</v>
      </c>
      <c r="B103" s="1">
        <v>46043</v>
      </c>
      <c r="C103" s="1" t="str">
        <f t="shared" si="7"/>
        <v>Jan</v>
      </c>
      <c r="D103" s="2" t="s">
        <v>18</v>
      </c>
      <c r="E103" s="2" t="s">
        <v>9</v>
      </c>
      <c r="F103" s="2">
        <v>7</v>
      </c>
      <c r="G103" s="2">
        <f t="shared" ca="1" si="8"/>
        <v>3069</v>
      </c>
      <c r="H103" s="2">
        <v>106862</v>
      </c>
      <c r="I103" s="2">
        <v>32333</v>
      </c>
      <c r="J103" s="2" t="s">
        <v>16</v>
      </c>
      <c r="K103" s="2" t="str">
        <f t="shared" si="9"/>
        <v>Nagaland</v>
      </c>
      <c r="L103" s="3" t="str">
        <f t="shared" ca="1" si="10"/>
        <v>Male</v>
      </c>
      <c r="M103">
        <f t="shared" ca="1" si="11"/>
        <v>37</v>
      </c>
      <c r="N103" s="2" t="str">
        <f t="shared" ca="1" si="12"/>
        <v>Adult</v>
      </c>
      <c r="O103" t="str">
        <f t="shared" ca="1" si="13"/>
        <v>Pending</v>
      </c>
    </row>
    <row r="104" spans="1:15">
      <c r="A104" s="2">
        <v>1103</v>
      </c>
      <c r="B104" s="1">
        <v>46080</v>
      </c>
      <c r="C104" s="1" t="str">
        <f t="shared" si="7"/>
        <v>Feb</v>
      </c>
      <c r="D104" s="2" t="s">
        <v>12</v>
      </c>
      <c r="E104" s="2" t="s">
        <v>9</v>
      </c>
      <c r="F104" s="2">
        <v>9</v>
      </c>
      <c r="G104" s="2">
        <f t="shared" ca="1" si="8"/>
        <v>11165</v>
      </c>
      <c r="H104" s="2">
        <v>345717</v>
      </c>
      <c r="I104" s="2">
        <v>70794</v>
      </c>
      <c r="J104" s="2" t="s">
        <v>11</v>
      </c>
      <c r="K104" s="2" t="str">
        <f t="shared" si="9"/>
        <v>Odisha</v>
      </c>
      <c r="L104" s="3" t="str">
        <f t="shared" ca="1" si="10"/>
        <v>Male</v>
      </c>
      <c r="M104">
        <f t="shared" ca="1" si="11"/>
        <v>18</v>
      </c>
      <c r="N104" s="2" t="str">
        <f t="shared" ca="1" si="12"/>
        <v>Teenager</v>
      </c>
      <c r="O104" t="str">
        <f t="shared" ca="1" si="13"/>
        <v>Deliverd</v>
      </c>
    </row>
    <row r="105" spans="1:15">
      <c r="A105" s="2">
        <v>1104</v>
      </c>
      <c r="B105" s="1">
        <v>46028</v>
      </c>
      <c r="C105" s="1" t="str">
        <f t="shared" si="7"/>
        <v>Jan</v>
      </c>
      <c r="D105" s="2" t="s">
        <v>12</v>
      </c>
      <c r="E105" s="2" t="s">
        <v>9</v>
      </c>
      <c r="F105" s="2">
        <v>1</v>
      </c>
      <c r="G105" s="2">
        <f t="shared" ca="1" si="8"/>
        <v>41687</v>
      </c>
      <c r="H105" s="2">
        <v>51205</v>
      </c>
      <c r="I105" s="2">
        <v>6633</v>
      </c>
      <c r="J105" s="2" t="s">
        <v>10</v>
      </c>
      <c r="K105" s="2" t="str">
        <f t="shared" si="9"/>
        <v>Punjab</v>
      </c>
      <c r="L105" s="3" t="str">
        <f t="shared" ca="1" si="10"/>
        <v>Male</v>
      </c>
      <c r="M105">
        <f t="shared" ca="1" si="11"/>
        <v>36</v>
      </c>
      <c r="N105" s="2" t="str">
        <f t="shared" ca="1" si="12"/>
        <v>Adult</v>
      </c>
      <c r="O105" t="str">
        <f t="shared" ca="1" si="13"/>
        <v>Deliverd</v>
      </c>
    </row>
    <row r="106" spans="1:15">
      <c r="A106" s="2">
        <v>1105</v>
      </c>
      <c r="B106" s="1">
        <v>46167</v>
      </c>
      <c r="C106" s="1" t="str">
        <f t="shared" si="7"/>
        <v>May</v>
      </c>
      <c r="D106" s="2" t="s">
        <v>13</v>
      </c>
      <c r="E106" s="2" t="s">
        <v>9</v>
      </c>
      <c r="F106" s="2">
        <v>3</v>
      </c>
      <c r="G106" s="2">
        <f t="shared" ca="1" si="8"/>
        <v>18871</v>
      </c>
      <c r="H106" s="2">
        <v>70551</v>
      </c>
      <c r="I106" s="2">
        <v>7311</v>
      </c>
      <c r="J106" s="2" t="s">
        <v>10</v>
      </c>
      <c r="K106" s="2" t="str">
        <f t="shared" si="9"/>
        <v>Rajasthan</v>
      </c>
      <c r="L106" s="3" t="str">
        <f t="shared" ca="1" si="10"/>
        <v>Male</v>
      </c>
      <c r="M106">
        <f t="shared" ca="1" si="11"/>
        <v>60</v>
      </c>
      <c r="N106" s="2" t="str">
        <f t="shared" ca="1" si="12"/>
        <v>Senior</v>
      </c>
      <c r="O106" t="str">
        <f t="shared" ca="1" si="13"/>
        <v>Cancelled</v>
      </c>
    </row>
    <row r="107" spans="1:15">
      <c r="A107" s="2">
        <v>1106</v>
      </c>
      <c r="B107" s="1">
        <v>46065</v>
      </c>
      <c r="C107" s="1" t="str">
        <f t="shared" si="7"/>
        <v>Feb</v>
      </c>
      <c r="D107" s="2" t="s">
        <v>21</v>
      </c>
      <c r="E107" s="2" t="s">
        <v>20</v>
      </c>
      <c r="F107" s="2">
        <v>5</v>
      </c>
      <c r="G107" s="2">
        <f t="shared" ca="1" si="8"/>
        <v>29848</v>
      </c>
      <c r="H107" s="2">
        <v>97820</v>
      </c>
      <c r="I107" s="2">
        <v>13550</v>
      </c>
      <c r="J107" s="2" t="s">
        <v>11</v>
      </c>
      <c r="K107" s="2" t="str">
        <f t="shared" si="9"/>
        <v>Sikkim</v>
      </c>
      <c r="L107" s="3" t="str">
        <f t="shared" ca="1" si="10"/>
        <v>Male</v>
      </c>
      <c r="M107">
        <f t="shared" ca="1" si="11"/>
        <v>26</v>
      </c>
      <c r="N107" s="2" t="str">
        <f t="shared" ca="1" si="12"/>
        <v>Adult</v>
      </c>
      <c r="O107" t="str">
        <f t="shared" ca="1" si="13"/>
        <v>Deliverd</v>
      </c>
    </row>
    <row r="108" spans="1:15">
      <c r="A108" s="2">
        <v>1107</v>
      </c>
      <c r="B108" s="1">
        <v>46029</v>
      </c>
      <c r="C108" s="1" t="str">
        <f t="shared" si="7"/>
        <v>Jan</v>
      </c>
      <c r="D108" s="2" t="s">
        <v>17</v>
      </c>
      <c r="E108" s="2" t="s">
        <v>9</v>
      </c>
      <c r="F108" s="2">
        <v>5</v>
      </c>
      <c r="G108" s="2">
        <f t="shared" ca="1" si="8"/>
        <v>43608</v>
      </c>
      <c r="H108" s="2">
        <v>7210</v>
      </c>
      <c r="I108" s="2">
        <v>4210</v>
      </c>
      <c r="J108" s="2" t="s">
        <v>14</v>
      </c>
      <c r="K108" s="2" t="str">
        <f t="shared" si="9"/>
        <v>Tamil Nadu</v>
      </c>
      <c r="L108" s="3" t="str">
        <f t="shared" ca="1" si="10"/>
        <v>Male</v>
      </c>
      <c r="M108">
        <f t="shared" ca="1" si="11"/>
        <v>35</v>
      </c>
      <c r="N108" s="2" t="str">
        <f t="shared" ca="1" si="12"/>
        <v>Adult</v>
      </c>
      <c r="O108" t="str">
        <f t="shared" ca="1" si="13"/>
        <v>Deliverd</v>
      </c>
    </row>
    <row r="109" spans="1:15">
      <c r="A109" s="2">
        <v>1108</v>
      </c>
      <c r="B109" s="1">
        <v>46174</v>
      </c>
      <c r="C109" s="1" t="str">
        <f t="shared" si="7"/>
        <v>Jun</v>
      </c>
      <c r="D109" s="2" t="s">
        <v>19</v>
      </c>
      <c r="E109" s="2" t="s">
        <v>20</v>
      </c>
      <c r="F109" s="2">
        <v>7</v>
      </c>
      <c r="G109" s="2">
        <f t="shared" ca="1" si="8"/>
        <v>10982</v>
      </c>
      <c r="H109" s="2">
        <v>57743</v>
      </c>
      <c r="I109" s="2">
        <v>9177</v>
      </c>
      <c r="J109" s="2" t="s">
        <v>10</v>
      </c>
      <c r="K109" s="2" t="str">
        <f t="shared" si="9"/>
        <v>Telangana</v>
      </c>
      <c r="L109" s="3" t="str">
        <f t="shared" ca="1" si="10"/>
        <v>Female</v>
      </c>
      <c r="M109">
        <f t="shared" ca="1" si="11"/>
        <v>58</v>
      </c>
      <c r="N109" s="2" t="str">
        <f t="shared" ca="1" si="12"/>
        <v>Adult</v>
      </c>
      <c r="O109" t="str">
        <f t="shared" ca="1" si="13"/>
        <v>Deliverd</v>
      </c>
    </row>
    <row r="110" spans="1:15">
      <c r="A110" s="2">
        <v>1109</v>
      </c>
      <c r="B110" s="1">
        <v>46053</v>
      </c>
      <c r="C110" s="1" t="str">
        <f t="shared" si="7"/>
        <v>Jan</v>
      </c>
      <c r="D110" s="2" t="s">
        <v>8</v>
      </c>
      <c r="E110" s="2" t="s">
        <v>9</v>
      </c>
      <c r="F110" s="2">
        <v>5</v>
      </c>
      <c r="G110" s="2">
        <f t="shared" ca="1" si="8"/>
        <v>34553</v>
      </c>
      <c r="H110" s="2">
        <v>9505</v>
      </c>
      <c r="I110" s="2">
        <v>2285</v>
      </c>
      <c r="J110" s="2" t="s">
        <v>11</v>
      </c>
      <c r="K110" s="2" t="str">
        <f t="shared" si="9"/>
        <v>Tripura</v>
      </c>
      <c r="L110" s="3" t="str">
        <f t="shared" ca="1" si="10"/>
        <v>Male</v>
      </c>
      <c r="M110">
        <f t="shared" ca="1" si="11"/>
        <v>30</v>
      </c>
      <c r="N110" s="2" t="str">
        <f t="shared" ca="1" si="12"/>
        <v>Adult</v>
      </c>
      <c r="O110" t="str">
        <f t="shared" ca="1" si="13"/>
        <v>Cancelled</v>
      </c>
    </row>
    <row r="111" spans="1:15">
      <c r="A111" s="2">
        <v>1110</v>
      </c>
      <c r="B111" s="1">
        <v>46117</v>
      </c>
      <c r="C111" s="1" t="str">
        <f t="shared" si="7"/>
        <v>Apr</v>
      </c>
      <c r="D111" s="2" t="s">
        <v>15</v>
      </c>
      <c r="E111" s="2" t="s">
        <v>9</v>
      </c>
      <c r="F111" s="2">
        <v>9</v>
      </c>
      <c r="G111" s="2">
        <f t="shared" ca="1" si="8"/>
        <v>12399</v>
      </c>
      <c r="H111" s="2">
        <v>45081</v>
      </c>
      <c r="I111" s="2">
        <v>14886</v>
      </c>
      <c r="J111" s="2" t="s">
        <v>11</v>
      </c>
      <c r="K111" s="2" t="str">
        <f t="shared" si="9"/>
        <v>Uttar Pradesh</v>
      </c>
      <c r="L111" s="3" t="str">
        <f t="shared" ca="1" si="10"/>
        <v>Female</v>
      </c>
      <c r="M111">
        <f t="shared" ca="1" si="11"/>
        <v>60</v>
      </c>
      <c r="N111" s="2" t="str">
        <f t="shared" ca="1" si="12"/>
        <v>Senior</v>
      </c>
      <c r="O111" t="str">
        <f t="shared" ca="1" si="13"/>
        <v>Cancelled</v>
      </c>
    </row>
    <row r="112" spans="1:15">
      <c r="A112" s="2">
        <v>1111</v>
      </c>
      <c r="B112" s="1">
        <v>46050</v>
      </c>
      <c r="C112" s="1" t="str">
        <f t="shared" si="7"/>
        <v>Jan</v>
      </c>
      <c r="D112" s="2" t="s">
        <v>15</v>
      </c>
      <c r="E112" s="2" t="s">
        <v>9</v>
      </c>
      <c r="F112" s="2">
        <v>1</v>
      </c>
      <c r="G112" s="2">
        <f t="shared" ca="1" si="8"/>
        <v>15271</v>
      </c>
      <c r="H112" s="2">
        <v>4941</v>
      </c>
      <c r="I112" s="2">
        <v>1303</v>
      </c>
      <c r="J112" s="2" t="s">
        <v>16</v>
      </c>
      <c r="K112" s="2" t="str">
        <f t="shared" si="9"/>
        <v>Uttarakhand</v>
      </c>
      <c r="L112" s="3" t="str">
        <f t="shared" ca="1" si="10"/>
        <v>Female</v>
      </c>
      <c r="M112">
        <f t="shared" ca="1" si="11"/>
        <v>38</v>
      </c>
      <c r="N112" s="2" t="str">
        <f t="shared" ca="1" si="12"/>
        <v>Adult</v>
      </c>
      <c r="O112" t="str">
        <f t="shared" ca="1" si="13"/>
        <v>Deliverd</v>
      </c>
    </row>
    <row r="113" spans="1:15">
      <c r="A113" s="2">
        <v>1112</v>
      </c>
      <c r="B113" s="1">
        <v>46068</v>
      </c>
      <c r="C113" s="1" t="str">
        <f t="shared" si="7"/>
        <v>Feb</v>
      </c>
      <c r="D113" s="2" t="s">
        <v>15</v>
      </c>
      <c r="E113" s="2" t="s">
        <v>9</v>
      </c>
      <c r="F113" s="2">
        <v>8</v>
      </c>
      <c r="G113" s="2">
        <f t="shared" ca="1" si="8"/>
        <v>14931</v>
      </c>
      <c r="H113" s="2">
        <v>22024</v>
      </c>
      <c r="I113" s="2">
        <v>9528</v>
      </c>
      <c r="J113" s="2" t="s">
        <v>14</v>
      </c>
      <c r="K113" s="2" t="str">
        <f t="shared" si="9"/>
        <v>West Bengal</v>
      </c>
      <c r="L113" s="3" t="str">
        <f t="shared" ca="1" si="10"/>
        <v>Female</v>
      </c>
      <c r="M113">
        <f t="shared" ca="1" si="11"/>
        <v>55</v>
      </c>
      <c r="N113" s="2" t="str">
        <f t="shared" ca="1" si="12"/>
        <v>Adult</v>
      </c>
      <c r="O113" t="str">
        <f t="shared" ca="1" si="13"/>
        <v>Deliverd</v>
      </c>
    </row>
    <row r="114" spans="1:15">
      <c r="A114" s="2">
        <v>1113</v>
      </c>
      <c r="B114" s="1">
        <v>46174</v>
      </c>
      <c r="C114" s="1" t="str">
        <f t="shared" si="7"/>
        <v>Jun</v>
      </c>
      <c r="D114" s="2" t="s">
        <v>21</v>
      </c>
      <c r="E114" s="2" t="s">
        <v>20</v>
      </c>
      <c r="F114" s="2">
        <v>8</v>
      </c>
      <c r="G114" s="2">
        <f t="shared" ca="1" si="8"/>
        <v>21990</v>
      </c>
      <c r="H114" s="2">
        <v>113088</v>
      </c>
      <c r="I114" s="2">
        <v>33552</v>
      </c>
      <c r="J114" s="2" t="s">
        <v>14</v>
      </c>
      <c r="K114" s="2" t="str">
        <f t="shared" si="9"/>
        <v>Andhra Pradesh</v>
      </c>
      <c r="L114" s="3" t="str">
        <f t="shared" ca="1" si="10"/>
        <v>Female</v>
      </c>
      <c r="M114">
        <f t="shared" ca="1" si="11"/>
        <v>60</v>
      </c>
      <c r="N114" s="2" t="str">
        <f t="shared" ca="1" si="12"/>
        <v>Senior</v>
      </c>
      <c r="O114" t="str">
        <f t="shared" ca="1" si="13"/>
        <v>Cancelled</v>
      </c>
    </row>
    <row r="115" spans="1:15">
      <c r="A115" s="2">
        <v>1114</v>
      </c>
      <c r="B115" s="1">
        <v>46138</v>
      </c>
      <c r="C115" s="1" t="str">
        <f t="shared" si="7"/>
        <v>Apr</v>
      </c>
      <c r="D115" s="2" t="s">
        <v>15</v>
      </c>
      <c r="E115" s="2" t="s">
        <v>9</v>
      </c>
      <c r="F115" s="2">
        <v>4</v>
      </c>
      <c r="G115" s="2">
        <f t="shared" ca="1" si="8"/>
        <v>17916</v>
      </c>
      <c r="H115" s="2">
        <v>8836</v>
      </c>
      <c r="I115" s="2">
        <v>3484</v>
      </c>
      <c r="J115" s="2" t="s">
        <v>10</v>
      </c>
      <c r="K115" s="2" t="str">
        <f t="shared" si="9"/>
        <v>Arunachal Pradesh</v>
      </c>
      <c r="L115" s="3" t="str">
        <f t="shared" ca="1" si="10"/>
        <v>Female</v>
      </c>
      <c r="M115">
        <f t="shared" ca="1" si="11"/>
        <v>39</v>
      </c>
      <c r="N115" s="2" t="str">
        <f t="shared" ca="1" si="12"/>
        <v>Adult</v>
      </c>
      <c r="O115" t="str">
        <f t="shared" ca="1" si="13"/>
        <v>Cancelled</v>
      </c>
    </row>
    <row r="116" spans="1:15">
      <c r="A116" s="2">
        <v>1115</v>
      </c>
      <c r="B116" s="1">
        <v>46120</v>
      </c>
      <c r="C116" s="1" t="str">
        <f t="shared" si="7"/>
        <v>Apr</v>
      </c>
      <c r="D116" s="2" t="s">
        <v>21</v>
      </c>
      <c r="E116" s="2" t="s">
        <v>20</v>
      </c>
      <c r="F116" s="2">
        <v>10</v>
      </c>
      <c r="G116" s="2">
        <f t="shared" ca="1" si="8"/>
        <v>31372</v>
      </c>
      <c r="H116" s="2">
        <v>169990</v>
      </c>
      <c r="I116" s="2">
        <v>39360</v>
      </c>
      <c r="J116" s="2" t="s">
        <v>14</v>
      </c>
      <c r="K116" s="2" t="str">
        <f t="shared" si="9"/>
        <v>Assam</v>
      </c>
      <c r="L116" s="3" t="str">
        <f t="shared" ca="1" si="10"/>
        <v>Female</v>
      </c>
      <c r="M116">
        <f t="shared" ca="1" si="11"/>
        <v>49</v>
      </c>
      <c r="N116" s="2" t="str">
        <f t="shared" ca="1" si="12"/>
        <v>Adult</v>
      </c>
      <c r="O116" t="str">
        <f t="shared" ca="1" si="13"/>
        <v>Deliverd</v>
      </c>
    </row>
    <row r="117" spans="1:15">
      <c r="A117" s="2">
        <v>1116</v>
      </c>
      <c r="B117" s="1">
        <v>46147</v>
      </c>
      <c r="C117" s="1" t="str">
        <f t="shared" si="7"/>
        <v>May</v>
      </c>
      <c r="D117" s="2" t="s">
        <v>12</v>
      </c>
      <c r="E117" s="2" t="s">
        <v>9</v>
      </c>
      <c r="F117" s="2">
        <v>8</v>
      </c>
      <c r="G117" s="2">
        <f t="shared" ca="1" si="8"/>
        <v>34383</v>
      </c>
      <c r="H117" s="2">
        <v>450400</v>
      </c>
      <c r="I117" s="2">
        <v>51912</v>
      </c>
      <c r="J117" s="2" t="s">
        <v>10</v>
      </c>
      <c r="K117" s="2" t="str">
        <f t="shared" si="9"/>
        <v>Bihar</v>
      </c>
      <c r="L117" s="3" t="str">
        <f t="shared" ca="1" si="10"/>
        <v>Male</v>
      </c>
      <c r="M117">
        <f t="shared" ca="1" si="11"/>
        <v>33</v>
      </c>
      <c r="N117" s="2" t="str">
        <f t="shared" ca="1" si="12"/>
        <v>Adult</v>
      </c>
      <c r="O117" t="str">
        <f t="shared" ca="1" si="13"/>
        <v>Pending</v>
      </c>
    </row>
    <row r="118" spans="1:15">
      <c r="A118" s="2">
        <v>1117</v>
      </c>
      <c r="B118" s="1">
        <v>46175</v>
      </c>
      <c r="C118" s="1" t="str">
        <f t="shared" si="7"/>
        <v>Jun</v>
      </c>
      <c r="D118" s="2" t="s">
        <v>15</v>
      </c>
      <c r="E118" s="2" t="s">
        <v>9</v>
      </c>
      <c r="F118" s="2">
        <v>5</v>
      </c>
      <c r="G118" s="2">
        <f t="shared" ca="1" si="8"/>
        <v>23848</v>
      </c>
      <c r="H118" s="2">
        <v>21440</v>
      </c>
      <c r="I118" s="2">
        <v>4360</v>
      </c>
      <c r="J118" s="2" t="s">
        <v>14</v>
      </c>
      <c r="K118" s="2" t="str">
        <f t="shared" si="9"/>
        <v>Chhattisgarh</v>
      </c>
      <c r="L118" s="3" t="str">
        <f t="shared" ca="1" si="10"/>
        <v>Male</v>
      </c>
      <c r="M118">
        <f t="shared" ca="1" si="11"/>
        <v>44</v>
      </c>
      <c r="N118" s="2" t="str">
        <f t="shared" ca="1" si="12"/>
        <v>Adult</v>
      </c>
      <c r="O118" t="str">
        <f t="shared" ca="1" si="13"/>
        <v>Cancelled</v>
      </c>
    </row>
    <row r="119" spans="1:15">
      <c r="A119" s="2">
        <v>1118</v>
      </c>
      <c r="B119" s="1">
        <v>46084</v>
      </c>
      <c r="C119" s="1" t="str">
        <f t="shared" si="7"/>
        <v>Mar</v>
      </c>
      <c r="D119" s="2" t="s">
        <v>12</v>
      </c>
      <c r="E119" s="2" t="s">
        <v>9</v>
      </c>
      <c r="F119" s="2">
        <v>9</v>
      </c>
      <c r="G119" s="2">
        <f t="shared" ca="1" si="8"/>
        <v>26270</v>
      </c>
      <c r="H119" s="2">
        <v>427689</v>
      </c>
      <c r="I119" s="2">
        <v>51309</v>
      </c>
      <c r="J119" s="2" t="s">
        <v>16</v>
      </c>
      <c r="K119" s="2" t="str">
        <f t="shared" si="9"/>
        <v>Goa</v>
      </c>
      <c r="L119" s="3" t="str">
        <f t="shared" ca="1" si="10"/>
        <v>Male</v>
      </c>
      <c r="M119">
        <f t="shared" ca="1" si="11"/>
        <v>53</v>
      </c>
      <c r="N119" s="2" t="str">
        <f t="shared" ca="1" si="12"/>
        <v>Adult</v>
      </c>
      <c r="O119" t="str">
        <f t="shared" ca="1" si="13"/>
        <v>Pending</v>
      </c>
    </row>
    <row r="120" spans="1:15">
      <c r="A120" s="2">
        <v>1119</v>
      </c>
      <c r="B120" s="1">
        <v>46199</v>
      </c>
      <c r="C120" s="1" t="str">
        <f t="shared" si="7"/>
        <v>Jun</v>
      </c>
      <c r="D120" s="2" t="s">
        <v>21</v>
      </c>
      <c r="E120" s="2" t="s">
        <v>20</v>
      </c>
      <c r="F120" s="2">
        <v>9</v>
      </c>
      <c r="G120" s="2">
        <f t="shared" ca="1" si="8"/>
        <v>26992</v>
      </c>
      <c r="H120" s="2">
        <v>174789</v>
      </c>
      <c r="I120" s="2">
        <v>19656</v>
      </c>
      <c r="J120" s="2" t="s">
        <v>16</v>
      </c>
      <c r="K120" s="2" t="str">
        <f t="shared" si="9"/>
        <v>Gujarat</v>
      </c>
      <c r="L120" s="3" t="str">
        <f t="shared" ca="1" si="10"/>
        <v>Female</v>
      </c>
      <c r="M120">
        <f t="shared" ca="1" si="11"/>
        <v>34</v>
      </c>
      <c r="N120" s="2" t="str">
        <f t="shared" ca="1" si="12"/>
        <v>Adult</v>
      </c>
      <c r="O120" t="str">
        <f t="shared" ca="1" si="13"/>
        <v>Deliverd</v>
      </c>
    </row>
    <row r="121" spans="1:15">
      <c r="A121" s="2">
        <v>1120</v>
      </c>
      <c r="B121" s="1">
        <v>46046</v>
      </c>
      <c r="C121" s="1" t="str">
        <f t="shared" si="7"/>
        <v>Jan</v>
      </c>
      <c r="D121" s="2" t="s">
        <v>21</v>
      </c>
      <c r="E121" s="2" t="s">
        <v>20</v>
      </c>
      <c r="F121" s="2">
        <v>8</v>
      </c>
      <c r="G121" s="2">
        <f t="shared" ca="1" si="8"/>
        <v>25110</v>
      </c>
      <c r="H121" s="2">
        <v>159928</v>
      </c>
      <c r="I121" s="2">
        <v>10160</v>
      </c>
      <c r="J121" s="2" t="s">
        <v>14</v>
      </c>
      <c r="K121" s="2" t="str">
        <f t="shared" si="9"/>
        <v>Haryana</v>
      </c>
      <c r="L121" s="3" t="str">
        <f t="shared" ca="1" si="10"/>
        <v>Female</v>
      </c>
      <c r="M121">
        <f t="shared" ca="1" si="11"/>
        <v>48</v>
      </c>
      <c r="N121" s="2" t="str">
        <f t="shared" ca="1" si="12"/>
        <v>Adult</v>
      </c>
      <c r="O121" t="str">
        <f t="shared" ca="1" si="13"/>
        <v>Cancelled</v>
      </c>
    </row>
    <row r="122" spans="1:15">
      <c r="A122" s="2">
        <v>1121</v>
      </c>
      <c r="B122" s="1">
        <v>46192</v>
      </c>
      <c r="C122" s="1" t="str">
        <f t="shared" si="7"/>
        <v>Jun</v>
      </c>
      <c r="D122" s="2" t="s">
        <v>13</v>
      </c>
      <c r="E122" s="2" t="s">
        <v>9</v>
      </c>
      <c r="F122" s="2">
        <v>7</v>
      </c>
      <c r="G122" s="2">
        <f t="shared" ca="1" si="8"/>
        <v>24242</v>
      </c>
      <c r="H122" s="2">
        <v>111804</v>
      </c>
      <c r="I122" s="2">
        <v>28056</v>
      </c>
      <c r="J122" s="2" t="s">
        <v>14</v>
      </c>
      <c r="K122" s="2" t="str">
        <f t="shared" si="9"/>
        <v>Himachal Pradesh</v>
      </c>
      <c r="L122" s="3" t="str">
        <f t="shared" ca="1" si="10"/>
        <v>Male</v>
      </c>
      <c r="M122">
        <f t="shared" ca="1" si="11"/>
        <v>29</v>
      </c>
      <c r="N122" s="2" t="str">
        <f t="shared" ca="1" si="12"/>
        <v>Adult</v>
      </c>
      <c r="O122" t="str">
        <f t="shared" ca="1" si="13"/>
        <v>Cancelled</v>
      </c>
    </row>
    <row r="123" spans="1:15">
      <c r="A123" s="2">
        <v>1122</v>
      </c>
      <c r="B123" s="1">
        <v>46131</v>
      </c>
      <c r="C123" s="1" t="str">
        <f t="shared" si="7"/>
        <v>Apr</v>
      </c>
      <c r="D123" s="2" t="s">
        <v>21</v>
      </c>
      <c r="E123" s="2" t="s">
        <v>20</v>
      </c>
      <c r="F123" s="2">
        <v>9</v>
      </c>
      <c r="G123" s="2">
        <f t="shared" ca="1" si="8"/>
        <v>9778</v>
      </c>
      <c r="H123" s="2">
        <v>141282</v>
      </c>
      <c r="I123" s="2">
        <v>23472</v>
      </c>
      <c r="J123" s="2" t="s">
        <v>14</v>
      </c>
      <c r="K123" s="2" t="str">
        <f t="shared" si="9"/>
        <v>Jharkhand</v>
      </c>
      <c r="L123" s="3" t="str">
        <f t="shared" ca="1" si="10"/>
        <v>Male</v>
      </c>
      <c r="M123">
        <f t="shared" ca="1" si="11"/>
        <v>28</v>
      </c>
      <c r="N123" s="2" t="str">
        <f t="shared" ca="1" si="12"/>
        <v>Adult</v>
      </c>
      <c r="O123" t="str">
        <f t="shared" ca="1" si="13"/>
        <v>Deliverd</v>
      </c>
    </row>
    <row r="124" spans="1:15">
      <c r="A124" s="2">
        <v>1123</v>
      </c>
      <c r="B124" s="1">
        <v>46087</v>
      </c>
      <c r="C124" s="1" t="str">
        <f t="shared" si="7"/>
        <v>Mar</v>
      </c>
      <c r="D124" s="2" t="s">
        <v>15</v>
      </c>
      <c r="E124" s="2" t="s">
        <v>9</v>
      </c>
      <c r="F124" s="2">
        <v>8</v>
      </c>
      <c r="G124" s="2">
        <f t="shared" ca="1" si="8"/>
        <v>12641</v>
      </c>
      <c r="H124" s="2">
        <v>29752</v>
      </c>
      <c r="I124" s="2">
        <v>7416</v>
      </c>
      <c r="J124" s="2" t="s">
        <v>10</v>
      </c>
      <c r="K124" s="2" t="str">
        <f t="shared" si="9"/>
        <v>Karnataka</v>
      </c>
      <c r="L124" s="3" t="str">
        <f t="shared" ca="1" si="10"/>
        <v>Male</v>
      </c>
      <c r="M124">
        <f t="shared" ca="1" si="11"/>
        <v>32</v>
      </c>
      <c r="N124" s="2" t="str">
        <f t="shared" ca="1" si="12"/>
        <v>Adult</v>
      </c>
      <c r="O124" t="str">
        <f t="shared" ca="1" si="13"/>
        <v>Deliverd</v>
      </c>
    </row>
    <row r="125" spans="1:15">
      <c r="A125" s="2">
        <v>1124</v>
      </c>
      <c r="B125" s="1">
        <v>46160</v>
      </c>
      <c r="C125" s="1" t="str">
        <f t="shared" si="7"/>
        <v>May</v>
      </c>
      <c r="D125" s="2" t="s">
        <v>8</v>
      </c>
      <c r="E125" s="2" t="s">
        <v>9</v>
      </c>
      <c r="F125" s="2">
        <v>4</v>
      </c>
      <c r="G125" s="2">
        <f t="shared" ca="1" si="8"/>
        <v>47195</v>
      </c>
      <c r="H125" s="2">
        <v>4584</v>
      </c>
      <c r="I125" s="2">
        <v>844</v>
      </c>
      <c r="J125" s="2" t="s">
        <v>10</v>
      </c>
      <c r="K125" s="2" t="str">
        <f t="shared" si="9"/>
        <v>Kerala</v>
      </c>
      <c r="L125" s="3" t="str">
        <f t="shared" ca="1" si="10"/>
        <v>Female</v>
      </c>
      <c r="M125">
        <f t="shared" ca="1" si="11"/>
        <v>44</v>
      </c>
      <c r="N125" s="2" t="str">
        <f t="shared" ca="1" si="12"/>
        <v>Adult</v>
      </c>
      <c r="O125" t="str">
        <f t="shared" ca="1" si="13"/>
        <v>Pending</v>
      </c>
    </row>
    <row r="126" spans="1:15">
      <c r="A126" s="2">
        <v>1125</v>
      </c>
      <c r="B126" s="1">
        <v>46173</v>
      </c>
      <c r="C126" s="1" t="str">
        <f t="shared" si="7"/>
        <v>May</v>
      </c>
      <c r="D126" s="2" t="s">
        <v>13</v>
      </c>
      <c r="E126" s="2" t="s">
        <v>9</v>
      </c>
      <c r="F126" s="2">
        <v>4</v>
      </c>
      <c r="G126" s="2">
        <f t="shared" ca="1" si="8"/>
        <v>7379</v>
      </c>
      <c r="H126" s="2">
        <v>95464</v>
      </c>
      <c r="I126" s="2">
        <v>15060</v>
      </c>
      <c r="J126" s="2" t="s">
        <v>14</v>
      </c>
      <c r="K126" s="2" t="str">
        <f t="shared" si="9"/>
        <v>Madhya Pradesh</v>
      </c>
      <c r="L126" s="3" t="str">
        <f t="shared" ca="1" si="10"/>
        <v>Male</v>
      </c>
      <c r="M126">
        <f t="shared" ca="1" si="11"/>
        <v>27</v>
      </c>
      <c r="N126" s="2" t="str">
        <f t="shared" ca="1" si="12"/>
        <v>Adult</v>
      </c>
      <c r="O126" t="str">
        <f t="shared" ca="1" si="13"/>
        <v>Deliverd</v>
      </c>
    </row>
    <row r="127" spans="1:15">
      <c r="A127" s="2">
        <v>1126</v>
      </c>
      <c r="B127" s="1">
        <v>46115</v>
      </c>
      <c r="C127" s="1" t="str">
        <f t="shared" si="7"/>
        <v>Apr</v>
      </c>
      <c r="D127" s="2" t="s">
        <v>8</v>
      </c>
      <c r="E127" s="2" t="s">
        <v>9</v>
      </c>
      <c r="F127" s="2">
        <v>4</v>
      </c>
      <c r="G127" s="2">
        <f t="shared" ca="1" si="8"/>
        <v>1121</v>
      </c>
      <c r="H127" s="2">
        <v>4424</v>
      </c>
      <c r="I127" s="2">
        <v>1064</v>
      </c>
      <c r="J127" s="2" t="s">
        <v>10</v>
      </c>
      <c r="K127" s="2" t="str">
        <f t="shared" si="9"/>
        <v>Maharashtra</v>
      </c>
      <c r="L127" s="3" t="str">
        <f t="shared" ca="1" si="10"/>
        <v>Male</v>
      </c>
      <c r="M127">
        <f t="shared" ca="1" si="11"/>
        <v>33</v>
      </c>
      <c r="N127" s="2" t="str">
        <f t="shared" ca="1" si="12"/>
        <v>Adult</v>
      </c>
      <c r="O127" t="str">
        <f t="shared" ca="1" si="13"/>
        <v>Pending</v>
      </c>
    </row>
    <row r="128" spans="1:15">
      <c r="A128" s="2">
        <v>1127</v>
      </c>
      <c r="B128" s="1">
        <v>46093</v>
      </c>
      <c r="C128" s="1" t="str">
        <f t="shared" si="7"/>
        <v>Mar</v>
      </c>
      <c r="D128" s="2" t="s">
        <v>18</v>
      </c>
      <c r="E128" s="2" t="s">
        <v>9</v>
      </c>
      <c r="F128" s="2">
        <v>1</v>
      </c>
      <c r="G128" s="2">
        <f t="shared" ca="1" si="8"/>
        <v>24220</v>
      </c>
      <c r="H128" s="2">
        <v>24502</v>
      </c>
      <c r="I128" s="2">
        <v>1718</v>
      </c>
      <c r="J128" s="2" t="s">
        <v>11</v>
      </c>
      <c r="K128" s="2" t="str">
        <f t="shared" si="9"/>
        <v>Manipur</v>
      </c>
      <c r="L128" s="3" t="str">
        <f t="shared" ca="1" si="10"/>
        <v>Male</v>
      </c>
      <c r="M128">
        <f t="shared" ca="1" si="11"/>
        <v>44</v>
      </c>
      <c r="N128" s="2" t="str">
        <f t="shared" ca="1" si="12"/>
        <v>Adult</v>
      </c>
      <c r="O128" t="str">
        <f t="shared" ca="1" si="13"/>
        <v>Pending</v>
      </c>
    </row>
    <row r="129" spans="1:15">
      <c r="A129" s="2">
        <v>1128</v>
      </c>
      <c r="B129" s="1">
        <v>46055</v>
      </c>
      <c r="C129" s="1" t="str">
        <f t="shared" si="7"/>
        <v>Feb</v>
      </c>
      <c r="D129" s="2" t="s">
        <v>12</v>
      </c>
      <c r="E129" s="2" t="s">
        <v>9</v>
      </c>
      <c r="F129" s="2">
        <v>9</v>
      </c>
      <c r="G129" s="2">
        <f t="shared" ca="1" si="8"/>
        <v>5784</v>
      </c>
      <c r="H129" s="2">
        <v>487305</v>
      </c>
      <c r="I129" s="2">
        <v>96417</v>
      </c>
      <c r="J129" s="2" t="s">
        <v>16</v>
      </c>
      <c r="K129" s="2" t="str">
        <f t="shared" si="9"/>
        <v>Meghalaya</v>
      </c>
      <c r="L129" s="3" t="str">
        <f t="shared" ca="1" si="10"/>
        <v>Male</v>
      </c>
      <c r="M129">
        <f t="shared" ca="1" si="11"/>
        <v>42</v>
      </c>
      <c r="N129" s="2" t="str">
        <f t="shared" ca="1" si="12"/>
        <v>Adult</v>
      </c>
      <c r="O129" t="str">
        <f t="shared" ca="1" si="13"/>
        <v>Cancelled</v>
      </c>
    </row>
    <row r="130" spans="1:15">
      <c r="A130" s="2">
        <v>1129</v>
      </c>
      <c r="B130" s="1">
        <v>46143</v>
      </c>
      <c r="C130" s="1" t="str">
        <f t="shared" si="7"/>
        <v>May</v>
      </c>
      <c r="D130" s="2" t="s">
        <v>8</v>
      </c>
      <c r="E130" s="2" t="s">
        <v>9</v>
      </c>
      <c r="F130" s="2">
        <v>1</v>
      </c>
      <c r="G130" s="2">
        <f t="shared" ca="1" si="8"/>
        <v>1687</v>
      </c>
      <c r="H130" s="2">
        <v>1675</v>
      </c>
      <c r="I130" s="2">
        <v>295</v>
      </c>
      <c r="J130" s="2" t="s">
        <v>16</v>
      </c>
      <c r="K130" s="2" t="str">
        <f t="shared" si="9"/>
        <v>Mizoram</v>
      </c>
      <c r="L130" s="3" t="str">
        <f t="shared" ca="1" si="10"/>
        <v>Female</v>
      </c>
      <c r="M130">
        <f t="shared" ca="1" si="11"/>
        <v>21</v>
      </c>
      <c r="N130" s="2" t="str">
        <f t="shared" ca="1" si="12"/>
        <v>Adult</v>
      </c>
      <c r="O130" t="str">
        <f t="shared" ca="1" si="13"/>
        <v>Deliverd</v>
      </c>
    </row>
    <row r="131" spans="1:15">
      <c r="A131" s="2">
        <v>1130</v>
      </c>
      <c r="B131" s="1">
        <v>46087</v>
      </c>
      <c r="C131" s="1" t="str">
        <f t="shared" ref="C131:C194" si="14">TEXT(B131,"mmm")</f>
        <v>Mar</v>
      </c>
      <c r="D131" s="2" t="s">
        <v>21</v>
      </c>
      <c r="E131" s="2" t="s">
        <v>20</v>
      </c>
      <c r="F131" s="2">
        <v>6</v>
      </c>
      <c r="G131" s="2">
        <f t="shared" ref="G131:G194" ca="1" si="15">RANDBETWEEN(500,50000)</f>
        <v>8693</v>
      </c>
      <c r="H131" s="2">
        <v>60120</v>
      </c>
      <c r="I131" s="2">
        <v>8460</v>
      </c>
      <c r="J131" s="2" t="s">
        <v>16</v>
      </c>
      <c r="K131" s="2" t="str">
        <f t="shared" ref="K131:K194" si="16">CHOOSE(MOD(ROW()-2,28)+1,"Andhra Pradesh","Arunachal Pradesh","Assam","Bihar","Chhattisgarh","Goa","Gujarat","Haryana","Himachal Pradesh","Jharkhand","Karnataka","Kerala","Madhya Pradesh","Maharashtra","Manipur","Meghalaya","Mizoram","Nagaland","Odisha","Punjab","Rajasthan","Sikkim","Tamil Nadu","Telangana","Tripura","Uttar Pradesh","Uttarakhand","West Bengal")</f>
        <v>Nagaland</v>
      </c>
      <c r="L131" s="3" t="str">
        <f t="shared" ref="L131:L194" ca="1" si="17">IF(RAND()&lt;0.5,"Male","Female")</f>
        <v>Male</v>
      </c>
      <c r="M131">
        <f t="shared" ref="M131:M194" ca="1" si="18">RANDBETWEEN(18,60)</f>
        <v>32</v>
      </c>
      <c r="N131" s="2" t="str">
        <f t="shared" ref="N131:N194" ca="1" si="19">IF(M131&lt;20,"Teenager",IF(M131&lt;60,"Adult","Senior"))</f>
        <v>Adult</v>
      </c>
      <c r="O131" t="str">
        <f t="shared" ref="O131:O194" ca="1" si="20">CHOOSE(RANDBETWEEN(1,3),"Deliverd","Pending","Cancelled")</f>
        <v>Pending</v>
      </c>
    </row>
    <row r="132" spans="1:15">
      <c r="A132" s="2">
        <v>1131</v>
      </c>
      <c r="B132" s="1">
        <v>46041</v>
      </c>
      <c r="C132" s="1" t="str">
        <f t="shared" si="14"/>
        <v>Jan</v>
      </c>
      <c r="D132" s="2" t="s">
        <v>8</v>
      </c>
      <c r="E132" s="2" t="s">
        <v>9</v>
      </c>
      <c r="F132" s="2">
        <v>2</v>
      </c>
      <c r="G132" s="2">
        <f t="shared" ca="1" si="15"/>
        <v>721</v>
      </c>
      <c r="H132" s="2">
        <v>2640</v>
      </c>
      <c r="I132" s="2">
        <v>802</v>
      </c>
      <c r="J132" s="2" t="s">
        <v>11</v>
      </c>
      <c r="K132" s="2" t="str">
        <f t="shared" si="16"/>
        <v>Odisha</v>
      </c>
      <c r="L132" s="3" t="str">
        <f t="shared" ca="1" si="17"/>
        <v>Male</v>
      </c>
      <c r="M132">
        <f t="shared" ca="1" si="18"/>
        <v>49</v>
      </c>
      <c r="N132" s="2" t="str">
        <f t="shared" ca="1" si="19"/>
        <v>Adult</v>
      </c>
      <c r="O132" t="str">
        <f t="shared" ca="1" si="20"/>
        <v>Cancelled</v>
      </c>
    </row>
    <row r="133" spans="1:15">
      <c r="A133" s="2">
        <v>1132</v>
      </c>
      <c r="B133" s="1">
        <v>46044</v>
      </c>
      <c r="C133" s="1" t="str">
        <f t="shared" si="14"/>
        <v>Jan</v>
      </c>
      <c r="D133" s="2" t="s">
        <v>17</v>
      </c>
      <c r="E133" s="2" t="s">
        <v>9</v>
      </c>
      <c r="F133" s="2">
        <v>3</v>
      </c>
      <c r="G133" s="2">
        <f t="shared" ca="1" si="15"/>
        <v>45199</v>
      </c>
      <c r="H133" s="2">
        <v>9915</v>
      </c>
      <c r="I133" s="2">
        <v>1683</v>
      </c>
      <c r="J133" s="2" t="s">
        <v>10</v>
      </c>
      <c r="K133" s="2" t="str">
        <f t="shared" si="16"/>
        <v>Punjab</v>
      </c>
      <c r="L133" s="3" t="str">
        <f t="shared" ca="1" si="17"/>
        <v>Male</v>
      </c>
      <c r="M133">
        <f t="shared" ca="1" si="18"/>
        <v>56</v>
      </c>
      <c r="N133" s="2" t="str">
        <f t="shared" ca="1" si="19"/>
        <v>Adult</v>
      </c>
      <c r="O133" t="str">
        <f t="shared" ca="1" si="20"/>
        <v>Pending</v>
      </c>
    </row>
    <row r="134" spans="1:15">
      <c r="A134" s="2">
        <v>1133</v>
      </c>
      <c r="B134" s="1">
        <v>46175</v>
      </c>
      <c r="C134" s="1" t="str">
        <f t="shared" si="14"/>
        <v>Jun</v>
      </c>
      <c r="D134" s="2" t="s">
        <v>8</v>
      </c>
      <c r="E134" s="2" t="s">
        <v>9</v>
      </c>
      <c r="F134" s="2">
        <v>9</v>
      </c>
      <c r="G134" s="2">
        <f t="shared" ca="1" si="15"/>
        <v>3532</v>
      </c>
      <c r="H134" s="2">
        <v>12168</v>
      </c>
      <c r="I134" s="2">
        <v>4140</v>
      </c>
      <c r="J134" s="2" t="s">
        <v>10</v>
      </c>
      <c r="K134" s="2" t="str">
        <f t="shared" si="16"/>
        <v>Rajasthan</v>
      </c>
      <c r="L134" s="3" t="str">
        <f t="shared" ca="1" si="17"/>
        <v>Male</v>
      </c>
      <c r="M134">
        <f t="shared" ca="1" si="18"/>
        <v>43</v>
      </c>
      <c r="N134" s="2" t="str">
        <f t="shared" ca="1" si="19"/>
        <v>Adult</v>
      </c>
      <c r="O134" t="str">
        <f t="shared" ca="1" si="20"/>
        <v>Cancelled</v>
      </c>
    </row>
    <row r="135" spans="1:15">
      <c r="A135" s="2">
        <v>1134</v>
      </c>
      <c r="B135" s="1">
        <v>46173</v>
      </c>
      <c r="C135" s="1" t="str">
        <f t="shared" si="14"/>
        <v>May</v>
      </c>
      <c r="D135" s="2" t="s">
        <v>19</v>
      </c>
      <c r="E135" s="2" t="s">
        <v>20</v>
      </c>
      <c r="F135" s="2">
        <v>8</v>
      </c>
      <c r="G135" s="2">
        <f t="shared" ca="1" si="15"/>
        <v>35789</v>
      </c>
      <c r="H135" s="2">
        <v>98024</v>
      </c>
      <c r="I135" s="2">
        <v>17736</v>
      </c>
      <c r="J135" s="2" t="s">
        <v>16</v>
      </c>
      <c r="K135" s="2" t="str">
        <f t="shared" si="16"/>
        <v>Sikkim</v>
      </c>
      <c r="L135" s="3" t="str">
        <f t="shared" ca="1" si="17"/>
        <v>Male</v>
      </c>
      <c r="M135">
        <f t="shared" ca="1" si="18"/>
        <v>40</v>
      </c>
      <c r="N135" s="2" t="str">
        <f t="shared" ca="1" si="19"/>
        <v>Adult</v>
      </c>
      <c r="O135" t="str">
        <f t="shared" ca="1" si="20"/>
        <v>Cancelled</v>
      </c>
    </row>
    <row r="136" spans="1:15">
      <c r="A136" s="2">
        <v>1135</v>
      </c>
      <c r="B136" s="1">
        <v>46048</v>
      </c>
      <c r="C136" s="1" t="str">
        <f t="shared" si="14"/>
        <v>Jan</v>
      </c>
      <c r="D136" s="2" t="s">
        <v>18</v>
      </c>
      <c r="E136" s="2" t="s">
        <v>9</v>
      </c>
      <c r="F136" s="2">
        <v>10</v>
      </c>
      <c r="G136" s="2">
        <f t="shared" ca="1" si="15"/>
        <v>43913</v>
      </c>
      <c r="H136" s="2">
        <v>89730</v>
      </c>
      <c r="I136" s="2">
        <v>36970</v>
      </c>
      <c r="J136" s="2" t="s">
        <v>10</v>
      </c>
      <c r="K136" s="2" t="str">
        <f t="shared" si="16"/>
        <v>Tamil Nadu</v>
      </c>
      <c r="L136" s="3" t="str">
        <f t="shared" ca="1" si="17"/>
        <v>Female</v>
      </c>
      <c r="M136">
        <f t="shared" ca="1" si="18"/>
        <v>55</v>
      </c>
      <c r="N136" s="2" t="str">
        <f t="shared" ca="1" si="19"/>
        <v>Adult</v>
      </c>
      <c r="O136" t="str">
        <f t="shared" ca="1" si="20"/>
        <v>Deliverd</v>
      </c>
    </row>
    <row r="137" spans="1:15">
      <c r="A137" s="2">
        <v>1136</v>
      </c>
      <c r="B137" s="1">
        <v>46063</v>
      </c>
      <c r="C137" s="1" t="str">
        <f t="shared" si="14"/>
        <v>Feb</v>
      </c>
      <c r="D137" s="2" t="s">
        <v>13</v>
      </c>
      <c r="E137" s="2" t="s">
        <v>9</v>
      </c>
      <c r="F137" s="2">
        <v>5</v>
      </c>
      <c r="G137" s="2">
        <f t="shared" ca="1" si="15"/>
        <v>7130</v>
      </c>
      <c r="H137" s="2">
        <v>148200</v>
      </c>
      <c r="I137" s="2">
        <v>10825</v>
      </c>
      <c r="J137" s="2" t="s">
        <v>10</v>
      </c>
      <c r="K137" s="2" t="str">
        <f t="shared" si="16"/>
        <v>Telangana</v>
      </c>
      <c r="L137" s="3" t="str">
        <f t="shared" ca="1" si="17"/>
        <v>Female</v>
      </c>
      <c r="M137">
        <f t="shared" ca="1" si="18"/>
        <v>35</v>
      </c>
      <c r="N137" s="2" t="str">
        <f t="shared" ca="1" si="19"/>
        <v>Adult</v>
      </c>
      <c r="O137" t="str">
        <f t="shared" ca="1" si="20"/>
        <v>Deliverd</v>
      </c>
    </row>
    <row r="138" spans="1:15">
      <c r="A138" s="2">
        <v>1137</v>
      </c>
      <c r="B138" s="1">
        <v>46023</v>
      </c>
      <c r="C138" s="1" t="str">
        <f t="shared" si="14"/>
        <v>Jan</v>
      </c>
      <c r="D138" s="2" t="s">
        <v>17</v>
      </c>
      <c r="E138" s="2" t="s">
        <v>9</v>
      </c>
      <c r="F138" s="2">
        <v>9</v>
      </c>
      <c r="G138" s="2">
        <f t="shared" ca="1" si="15"/>
        <v>9952</v>
      </c>
      <c r="H138" s="2">
        <v>11763</v>
      </c>
      <c r="I138" s="2">
        <v>3690</v>
      </c>
      <c r="J138" s="2" t="s">
        <v>16</v>
      </c>
      <c r="K138" s="2" t="str">
        <f t="shared" si="16"/>
        <v>Tripura</v>
      </c>
      <c r="L138" s="3" t="str">
        <f t="shared" ca="1" si="17"/>
        <v>Female</v>
      </c>
      <c r="M138">
        <f t="shared" ca="1" si="18"/>
        <v>39</v>
      </c>
      <c r="N138" s="2" t="str">
        <f t="shared" ca="1" si="19"/>
        <v>Adult</v>
      </c>
      <c r="O138" t="str">
        <f t="shared" ca="1" si="20"/>
        <v>Deliverd</v>
      </c>
    </row>
    <row r="139" spans="1:15">
      <c r="A139" s="2">
        <v>1138</v>
      </c>
      <c r="B139" s="1">
        <v>46031</v>
      </c>
      <c r="C139" s="1" t="str">
        <f t="shared" si="14"/>
        <v>Jan</v>
      </c>
      <c r="D139" s="2" t="s">
        <v>21</v>
      </c>
      <c r="E139" s="2" t="s">
        <v>20</v>
      </c>
      <c r="F139" s="2">
        <v>10</v>
      </c>
      <c r="G139" s="2">
        <f t="shared" ca="1" si="15"/>
        <v>46999</v>
      </c>
      <c r="H139" s="2">
        <v>146990</v>
      </c>
      <c r="I139" s="2">
        <v>23920</v>
      </c>
      <c r="J139" s="2" t="s">
        <v>10</v>
      </c>
      <c r="K139" s="2" t="str">
        <f t="shared" si="16"/>
        <v>Uttar Pradesh</v>
      </c>
      <c r="L139" s="3" t="str">
        <f t="shared" ca="1" si="17"/>
        <v>Male</v>
      </c>
      <c r="M139">
        <f t="shared" ca="1" si="18"/>
        <v>32</v>
      </c>
      <c r="N139" s="2" t="str">
        <f t="shared" ca="1" si="19"/>
        <v>Adult</v>
      </c>
      <c r="O139" t="str">
        <f t="shared" ca="1" si="20"/>
        <v>Pending</v>
      </c>
    </row>
    <row r="140" spans="1:15">
      <c r="A140" s="2">
        <v>1139</v>
      </c>
      <c r="B140" s="1">
        <v>46198</v>
      </c>
      <c r="C140" s="1" t="str">
        <f t="shared" si="14"/>
        <v>Jun</v>
      </c>
      <c r="D140" s="2" t="s">
        <v>18</v>
      </c>
      <c r="E140" s="2" t="s">
        <v>9</v>
      </c>
      <c r="F140" s="2">
        <v>5</v>
      </c>
      <c r="G140" s="2">
        <f t="shared" ca="1" si="15"/>
        <v>5842</v>
      </c>
      <c r="H140" s="2">
        <v>109385</v>
      </c>
      <c r="I140" s="2">
        <v>7455</v>
      </c>
      <c r="J140" s="2" t="s">
        <v>10</v>
      </c>
      <c r="K140" s="2" t="str">
        <f t="shared" si="16"/>
        <v>Uttarakhand</v>
      </c>
      <c r="L140" s="3" t="str">
        <f t="shared" ca="1" si="17"/>
        <v>Female</v>
      </c>
      <c r="M140">
        <f t="shared" ca="1" si="18"/>
        <v>27</v>
      </c>
      <c r="N140" s="2" t="str">
        <f t="shared" ca="1" si="19"/>
        <v>Adult</v>
      </c>
      <c r="O140" t="str">
        <f t="shared" ca="1" si="20"/>
        <v>Pending</v>
      </c>
    </row>
    <row r="141" spans="1:15">
      <c r="A141" s="2">
        <v>1140</v>
      </c>
      <c r="B141" s="1">
        <v>46052</v>
      </c>
      <c r="C141" s="1" t="str">
        <f t="shared" si="14"/>
        <v>Jan</v>
      </c>
      <c r="D141" s="2" t="s">
        <v>18</v>
      </c>
      <c r="E141" s="2" t="s">
        <v>9</v>
      </c>
      <c r="F141" s="2">
        <v>10</v>
      </c>
      <c r="G141" s="2">
        <f t="shared" ca="1" si="15"/>
        <v>12455</v>
      </c>
      <c r="H141" s="2">
        <v>134820</v>
      </c>
      <c r="I141" s="2">
        <v>29410</v>
      </c>
      <c r="J141" s="2" t="s">
        <v>10</v>
      </c>
      <c r="K141" s="2" t="str">
        <f t="shared" si="16"/>
        <v>West Bengal</v>
      </c>
      <c r="L141" s="3" t="str">
        <f t="shared" ca="1" si="17"/>
        <v>Male</v>
      </c>
      <c r="M141">
        <f t="shared" ca="1" si="18"/>
        <v>19</v>
      </c>
      <c r="N141" s="2" t="str">
        <f t="shared" ca="1" si="19"/>
        <v>Teenager</v>
      </c>
      <c r="O141" t="str">
        <f t="shared" ca="1" si="20"/>
        <v>Deliverd</v>
      </c>
    </row>
    <row r="142" spans="1:15">
      <c r="A142" s="2">
        <v>1141</v>
      </c>
      <c r="B142" s="1">
        <v>46038</v>
      </c>
      <c r="C142" s="1" t="str">
        <f t="shared" si="14"/>
        <v>Jan</v>
      </c>
      <c r="D142" s="2" t="s">
        <v>17</v>
      </c>
      <c r="E142" s="2" t="s">
        <v>9</v>
      </c>
      <c r="F142" s="2">
        <v>5</v>
      </c>
      <c r="G142" s="2">
        <f t="shared" ca="1" si="15"/>
        <v>5564</v>
      </c>
      <c r="H142" s="2">
        <v>7910</v>
      </c>
      <c r="I142" s="2">
        <v>1615</v>
      </c>
      <c r="J142" s="2" t="s">
        <v>10</v>
      </c>
      <c r="K142" s="2" t="str">
        <f t="shared" si="16"/>
        <v>Andhra Pradesh</v>
      </c>
      <c r="L142" s="3" t="str">
        <f t="shared" ca="1" si="17"/>
        <v>Female</v>
      </c>
      <c r="M142">
        <f t="shared" ca="1" si="18"/>
        <v>18</v>
      </c>
      <c r="N142" s="2" t="str">
        <f t="shared" ca="1" si="19"/>
        <v>Teenager</v>
      </c>
      <c r="O142" t="str">
        <f t="shared" ca="1" si="20"/>
        <v>Cancelled</v>
      </c>
    </row>
    <row r="143" spans="1:15">
      <c r="A143" s="2">
        <v>1142</v>
      </c>
      <c r="B143" s="1">
        <v>46054</v>
      </c>
      <c r="C143" s="1" t="str">
        <f t="shared" si="14"/>
        <v>Feb</v>
      </c>
      <c r="D143" s="2" t="s">
        <v>18</v>
      </c>
      <c r="E143" s="2" t="s">
        <v>9</v>
      </c>
      <c r="F143" s="2">
        <v>10</v>
      </c>
      <c r="G143" s="2">
        <f t="shared" ca="1" si="15"/>
        <v>18869</v>
      </c>
      <c r="H143" s="2">
        <v>164570</v>
      </c>
      <c r="I143" s="2">
        <v>29980</v>
      </c>
      <c r="J143" s="2" t="s">
        <v>16</v>
      </c>
      <c r="K143" s="2" t="str">
        <f t="shared" si="16"/>
        <v>Arunachal Pradesh</v>
      </c>
      <c r="L143" s="3" t="str">
        <f t="shared" ca="1" si="17"/>
        <v>Female</v>
      </c>
      <c r="M143">
        <f t="shared" ca="1" si="18"/>
        <v>38</v>
      </c>
      <c r="N143" s="2" t="str">
        <f t="shared" ca="1" si="19"/>
        <v>Adult</v>
      </c>
      <c r="O143" t="str">
        <f t="shared" ca="1" si="20"/>
        <v>Deliverd</v>
      </c>
    </row>
    <row r="144" spans="1:15">
      <c r="A144" s="2">
        <v>1143</v>
      </c>
      <c r="B144" s="1">
        <v>46161</v>
      </c>
      <c r="C144" s="1" t="str">
        <f t="shared" si="14"/>
        <v>May</v>
      </c>
      <c r="D144" s="2" t="s">
        <v>18</v>
      </c>
      <c r="E144" s="2" t="s">
        <v>9</v>
      </c>
      <c r="F144" s="2">
        <v>7</v>
      </c>
      <c r="G144" s="2">
        <f t="shared" ca="1" si="15"/>
        <v>9965</v>
      </c>
      <c r="H144" s="2">
        <v>111440</v>
      </c>
      <c r="I144" s="2">
        <v>22743</v>
      </c>
      <c r="J144" s="2" t="s">
        <v>16</v>
      </c>
      <c r="K144" s="2" t="str">
        <f t="shared" si="16"/>
        <v>Assam</v>
      </c>
      <c r="L144" s="3" t="str">
        <f t="shared" ca="1" si="17"/>
        <v>Male</v>
      </c>
      <c r="M144">
        <f t="shared" ca="1" si="18"/>
        <v>58</v>
      </c>
      <c r="N144" s="2" t="str">
        <f t="shared" ca="1" si="19"/>
        <v>Adult</v>
      </c>
      <c r="O144" t="str">
        <f t="shared" ca="1" si="20"/>
        <v>Cancelled</v>
      </c>
    </row>
    <row r="145" spans="1:15">
      <c r="A145" s="2">
        <v>1144</v>
      </c>
      <c r="B145" s="1">
        <v>46133</v>
      </c>
      <c r="C145" s="1" t="str">
        <f t="shared" si="14"/>
        <v>Apr</v>
      </c>
      <c r="D145" s="2" t="s">
        <v>21</v>
      </c>
      <c r="E145" s="2" t="s">
        <v>20</v>
      </c>
      <c r="F145" s="2">
        <v>2</v>
      </c>
      <c r="G145" s="2">
        <f t="shared" ca="1" si="15"/>
        <v>29194</v>
      </c>
      <c r="H145" s="2">
        <v>33596</v>
      </c>
      <c r="I145" s="2">
        <v>2726</v>
      </c>
      <c r="J145" s="2" t="s">
        <v>14</v>
      </c>
      <c r="K145" s="2" t="str">
        <f t="shared" si="16"/>
        <v>Bihar</v>
      </c>
      <c r="L145" s="3" t="str">
        <f t="shared" ca="1" si="17"/>
        <v>Male</v>
      </c>
      <c r="M145">
        <f t="shared" ca="1" si="18"/>
        <v>22</v>
      </c>
      <c r="N145" s="2" t="str">
        <f t="shared" ca="1" si="19"/>
        <v>Adult</v>
      </c>
      <c r="O145" t="str">
        <f t="shared" ca="1" si="20"/>
        <v>Deliverd</v>
      </c>
    </row>
    <row r="146" spans="1:15">
      <c r="A146" s="2">
        <v>1145</v>
      </c>
      <c r="B146" s="1">
        <v>46195</v>
      </c>
      <c r="C146" s="1" t="str">
        <f t="shared" si="14"/>
        <v>Jun</v>
      </c>
      <c r="D146" s="2" t="s">
        <v>18</v>
      </c>
      <c r="E146" s="2" t="s">
        <v>9</v>
      </c>
      <c r="F146" s="2">
        <v>1</v>
      </c>
      <c r="G146" s="2">
        <f t="shared" ca="1" si="15"/>
        <v>15516</v>
      </c>
      <c r="H146" s="2">
        <v>9992</v>
      </c>
      <c r="I146" s="2">
        <v>2137</v>
      </c>
      <c r="J146" s="2" t="s">
        <v>11</v>
      </c>
      <c r="K146" s="2" t="str">
        <f t="shared" si="16"/>
        <v>Chhattisgarh</v>
      </c>
      <c r="L146" s="3" t="str">
        <f t="shared" ca="1" si="17"/>
        <v>Male</v>
      </c>
      <c r="M146">
        <f t="shared" ca="1" si="18"/>
        <v>25</v>
      </c>
      <c r="N146" s="2" t="str">
        <f t="shared" ca="1" si="19"/>
        <v>Adult</v>
      </c>
      <c r="O146" t="str">
        <f t="shared" ca="1" si="20"/>
        <v>Cancelled</v>
      </c>
    </row>
    <row r="147" spans="1:15">
      <c r="A147" s="2">
        <v>1146</v>
      </c>
      <c r="B147" s="1">
        <v>46067</v>
      </c>
      <c r="C147" s="1" t="str">
        <f t="shared" si="14"/>
        <v>Feb</v>
      </c>
      <c r="D147" s="2" t="s">
        <v>18</v>
      </c>
      <c r="E147" s="2" t="s">
        <v>9</v>
      </c>
      <c r="F147" s="2">
        <v>10</v>
      </c>
      <c r="G147" s="2">
        <f t="shared" ca="1" si="15"/>
        <v>6624</v>
      </c>
      <c r="H147" s="2">
        <v>83180</v>
      </c>
      <c r="I147" s="2">
        <v>43250</v>
      </c>
      <c r="J147" s="2" t="s">
        <v>16</v>
      </c>
      <c r="K147" s="2" t="str">
        <f t="shared" si="16"/>
        <v>Goa</v>
      </c>
      <c r="L147" s="3" t="str">
        <f t="shared" ca="1" si="17"/>
        <v>Male</v>
      </c>
      <c r="M147">
        <f t="shared" ca="1" si="18"/>
        <v>46</v>
      </c>
      <c r="N147" s="2" t="str">
        <f t="shared" ca="1" si="19"/>
        <v>Adult</v>
      </c>
      <c r="O147" t="str">
        <f t="shared" ca="1" si="20"/>
        <v>Deliverd</v>
      </c>
    </row>
    <row r="148" spans="1:15">
      <c r="A148" s="2">
        <v>1147</v>
      </c>
      <c r="B148" s="1">
        <v>46134</v>
      </c>
      <c r="C148" s="1" t="str">
        <f t="shared" si="14"/>
        <v>Apr</v>
      </c>
      <c r="D148" s="2" t="s">
        <v>21</v>
      </c>
      <c r="E148" s="2" t="s">
        <v>20</v>
      </c>
      <c r="F148" s="2">
        <v>5</v>
      </c>
      <c r="G148" s="2">
        <f t="shared" ca="1" si="15"/>
        <v>28485</v>
      </c>
      <c r="H148" s="2">
        <v>49865</v>
      </c>
      <c r="I148" s="2">
        <v>17985</v>
      </c>
      <c r="J148" s="2" t="s">
        <v>16</v>
      </c>
      <c r="K148" s="2" t="str">
        <f t="shared" si="16"/>
        <v>Gujarat</v>
      </c>
      <c r="L148" s="3" t="str">
        <f t="shared" ca="1" si="17"/>
        <v>Female</v>
      </c>
      <c r="M148">
        <f t="shared" ca="1" si="18"/>
        <v>56</v>
      </c>
      <c r="N148" s="2" t="str">
        <f t="shared" ca="1" si="19"/>
        <v>Adult</v>
      </c>
      <c r="O148" t="str">
        <f t="shared" ca="1" si="20"/>
        <v>Cancelled</v>
      </c>
    </row>
    <row r="149" spans="1:15">
      <c r="A149" s="2">
        <v>1148</v>
      </c>
      <c r="B149" s="1">
        <v>46108</v>
      </c>
      <c r="C149" s="1" t="str">
        <f t="shared" si="14"/>
        <v>Mar</v>
      </c>
      <c r="D149" s="2" t="s">
        <v>8</v>
      </c>
      <c r="E149" s="2" t="s">
        <v>9</v>
      </c>
      <c r="F149" s="2">
        <v>8</v>
      </c>
      <c r="G149" s="2">
        <f t="shared" ca="1" si="15"/>
        <v>3767</v>
      </c>
      <c r="H149" s="2">
        <v>9696</v>
      </c>
      <c r="I149" s="2">
        <v>2872</v>
      </c>
      <c r="J149" s="2" t="s">
        <v>14</v>
      </c>
      <c r="K149" s="2" t="str">
        <f t="shared" si="16"/>
        <v>Haryana</v>
      </c>
      <c r="L149" s="3" t="str">
        <f t="shared" ca="1" si="17"/>
        <v>Female</v>
      </c>
      <c r="M149">
        <f t="shared" ca="1" si="18"/>
        <v>40</v>
      </c>
      <c r="N149" s="2" t="str">
        <f t="shared" ca="1" si="19"/>
        <v>Adult</v>
      </c>
      <c r="O149" t="str">
        <f t="shared" ca="1" si="20"/>
        <v>Cancelled</v>
      </c>
    </row>
    <row r="150" spans="1:15">
      <c r="A150" s="2">
        <v>1149</v>
      </c>
      <c r="B150" s="1">
        <v>46200</v>
      </c>
      <c r="C150" s="1" t="str">
        <f t="shared" si="14"/>
        <v>Jun</v>
      </c>
      <c r="D150" s="2" t="s">
        <v>8</v>
      </c>
      <c r="E150" s="2" t="s">
        <v>9</v>
      </c>
      <c r="F150" s="2">
        <v>3</v>
      </c>
      <c r="G150" s="2">
        <f t="shared" ca="1" si="15"/>
        <v>12855</v>
      </c>
      <c r="H150" s="2">
        <v>3525</v>
      </c>
      <c r="I150" s="2">
        <v>1080</v>
      </c>
      <c r="J150" s="2" t="s">
        <v>16</v>
      </c>
      <c r="K150" s="2" t="str">
        <f t="shared" si="16"/>
        <v>Himachal Pradesh</v>
      </c>
      <c r="L150" s="3" t="str">
        <f t="shared" ca="1" si="17"/>
        <v>Female</v>
      </c>
      <c r="M150">
        <f t="shared" ca="1" si="18"/>
        <v>40</v>
      </c>
      <c r="N150" s="2" t="str">
        <f t="shared" ca="1" si="19"/>
        <v>Adult</v>
      </c>
      <c r="O150" t="str">
        <f t="shared" ca="1" si="20"/>
        <v>Deliverd</v>
      </c>
    </row>
    <row r="151" spans="1:15">
      <c r="A151" s="2">
        <v>1150</v>
      </c>
      <c r="B151" s="1">
        <v>46045</v>
      </c>
      <c r="C151" s="1" t="str">
        <f t="shared" si="14"/>
        <v>Jan</v>
      </c>
      <c r="D151" s="2" t="s">
        <v>18</v>
      </c>
      <c r="E151" s="2" t="s">
        <v>9</v>
      </c>
      <c r="F151" s="2">
        <v>7</v>
      </c>
      <c r="G151" s="2">
        <f t="shared" ca="1" si="15"/>
        <v>4952</v>
      </c>
      <c r="H151" s="2">
        <v>57414</v>
      </c>
      <c r="I151" s="2">
        <v>21434</v>
      </c>
      <c r="J151" s="2" t="s">
        <v>14</v>
      </c>
      <c r="K151" s="2" t="str">
        <f t="shared" si="16"/>
        <v>Jharkhand</v>
      </c>
      <c r="L151" s="3" t="str">
        <f t="shared" ca="1" si="17"/>
        <v>Female</v>
      </c>
      <c r="M151">
        <f t="shared" ca="1" si="18"/>
        <v>20</v>
      </c>
      <c r="N151" s="2" t="str">
        <f t="shared" ca="1" si="19"/>
        <v>Adult</v>
      </c>
      <c r="O151" t="str">
        <f t="shared" ca="1" si="20"/>
        <v>Cancelled</v>
      </c>
    </row>
    <row r="152" spans="1:15">
      <c r="A152" s="2">
        <v>1151</v>
      </c>
      <c r="B152" s="1">
        <v>46126</v>
      </c>
      <c r="C152" s="1" t="str">
        <f t="shared" si="14"/>
        <v>Apr</v>
      </c>
      <c r="D152" s="2" t="s">
        <v>18</v>
      </c>
      <c r="E152" s="2" t="s">
        <v>9</v>
      </c>
      <c r="F152" s="2">
        <v>6</v>
      </c>
      <c r="G152" s="2">
        <f t="shared" ca="1" si="15"/>
        <v>33401</v>
      </c>
      <c r="H152" s="2">
        <v>64788</v>
      </c>
      <c r="I152" s="2">
        <v>26184</v>
      </c>
      <c r="J152" s="2" t="s">
        <v>11</v>
      </c>
      <c r="K152" s="2" t="str">
        <f t="shared" si="16"/>
        <v>Karnataka</v>
      </c>
      <c r="L152" s="3" t="str">
        <f t="shared" ca="1" si="17"/>
        <v>Female</v>
      </c>
      <c r="M152">
        <f t="shared" ca="1" si="18"/>
        <v>49</v>
      </c>
      <c r="N152" s="2" t="str">
        <f t="shared" ca="1" si="19"/>
        <v>Adult</v>
      </c>
      <c r="O152" t="str">
        <f t="shared" ca="1" si="20"/>
        <v>Deliverd</v>
      </c>
    </row>
    <row r="153" spans="1:15">
      <c r="A153" s="2">
        <v>1152</v>
      </c>
      <c r="B153" s="1">
        <v>46155</v>
      </c>
      <c r="C153" s="1" t="str">
        <f t="shared" si="14"/>
        <v>May</v>
      </c>
      <c r="D153" s="2" t="s">
        <v>21</v>
      </c>
      <c r="E153" s="2" t="s">
        <v>20</v>
      </c>
      <c r="F153" s="2">
        <v>7</v>
      </c>
      <c r="G153" s="2">
        <f t="shared" ca="1" si="15"/>
        <v>15543</v>
      </c>
      <c r="H153" s="2">
        <v>55216</v>
      </c>
      <c r="I153" s="2">
        <v>13776</v>
      </c>
      <c r="J153" s="2" t="s">
        <v>14</v>
      </c>
      <c r="K153" s="2" t="str">
        <f t="shared" si="16"/>
        <v>Kerala</v>
      </c>
      <c r="L153" s="3" t="str">
        <f t="shared" ca="1" si="17"/>
        <v>Male</v>
      </c>
      <c r="M153">
        <f t="shared" ca="1" si="18"/>
        <v>57</v>
      </c>
      <c r="N153" s="2" t="str">
        <f t="shared" ca="1" si="19"/>
        <v>Adult</v>
      </c>
      <c r="O153" t="str">
        <f t="shared" ca="1" si="20"/>
        <v>Pending</v>
      </c>
    </row>
    <row r="154" spans="1:15">
      <c r="A154" s="2">
        <v>1153</v>
      </c>
      <c r="B154" s="1">
        <v>46075</v>
      </c>
      <c r="C154" s="1" t="str">
        <f t="shared" si="14"/>
        <v>Feb</v>
      </c>
      <c r="D154" s="2" t="s">
        <v>21</v>
      </c>
      <c r="E154" s="2" t="s">
        <v>20</v>
      </c>
      <c r="F154" s="2">
        <v>8</v>
      </c>
      <c r="G154" s="2">
        <f t="shared" ca="1" si="15"/>
        <v>8344</v>
      </c>
      <c r="H154" s="2">
        <v>155608</v>
      </c>
      <c r="I154" s="2">
        <v>11288</v>
      </c>
      <c r="J154" s="2" t="s">
        <v>14</v>
      </c>
      <c r="K154" s="2" t="str">
        <f t="shared" si="16"/>
        <v>Madhya Pradesh</v>
      </c>
      <c r="L154" s="3" t="str">
        <f t="shared" ca="1" si="17"/>
        <v>Male</v>
      </c>
      <c r="M154">
        <f t="shared" ca="1" si="18"/>
        <v>56</v>
      </c>
      <c r="N154" s="2" t="str">
        <f t="shared" ca="1" si="19"/>
        <v>Adult</v>
      </c>
      <c r="O154" t="str">
        <f t="shared" ca="1" si="20"/>
        <v>Deliverd</v>
      </c>
    </row>
    <row r="155" spans="1:15">
      <c r="A155" s="2">
        <v>1154</v>
      </c>
      <c r="B155" s="1">
        <v>46054</v>
      </c>
      <c r="C155" s="1" t="str">
        <f t="shared" si="14"/>
        <v>Feb</v>
      </c>
      <c r="D155" s="2" t="s">
        <v>17</v>
      </c>
      <c r="E155" s="2" t="s">
        <v>9</v>
      </c>
      <c r="F155" s="2">
        <v>5</v>
      </c>
      <c r="G155" s="2">
        <f t="shared" ca="1" si="15"/>
        <v>35559</v>
      </c>
      <c r="H155" s="2">
        <v>13970</v>
      </c>
      <c r="I155" s="2">
        <v>3730</v>
      </c>
      <c r="J155" s="2" t="s">
        <v>11</v>
      </c>
      <c r="K155" s="2" t="str">
        <f t="shared" si="16"/>
        <v>Maharashtra</v>
      </c>
      <c r="L155" s="3" t="str">
        <f t="shared" ca="1" si="17"/>
        <v>Female</v>
      </c>
      <c r="M155">
        <f t="shared" ca="1" si="18"/>
        <v>39</v>
      </c>
      <c r="N155" s="2" t="str">
        <f t="shared" ca="1" si="19"/>
        <v>Adult</v>
      </c>
      <c r="O155" t="str">
        <f t="shared" ca="1" si="20"/>
        <v>Pending</v>
      </c>
    </row>
    <row r="156" spans="1:15">
      <c r="A156" s="2">
        <v>1155</v>
      </c>
      <c r="B156" s="1">
        <v>46164</v>
      </c>
      <c r="C156" s="1" t="str">
        <f t="shared" si="14"/>
        <v>May</v>
      </c>
      <c r="D156" s="2" t="s">
        <v>13</v>
      </c>
      <c r="E156" s="2" t="s">
        <v>9</v>
      </c>
      <c r="F156" s="2">
        <v>3</v>
      </c>
      <c r="G156" s="2">
        <f t="shared" ca="1" si="15"/>
        <v>22070</v>
      </c>
      <c r="H156" s="2">
        <v>54546</v>
      </c>
      <c r="I156" s="2">
        <v>4836</v>
      </c>
      <c r="J156" s="2" t="s">
        <v>16</v>
      </c>
      <c r="K156" s="2" t="str">
        <f t="shared" si="16"/>
        <v>Manipur</v>
      </c>
      <c r="L156" s="3" t="str">
        <f t="shared" ca="1" si="17"/>
        <v>Male</v>
      </c>
      <c r="M156">
        <f t="shared" ca="1" si="18"/>
        <v>41</v>
      </c>
      <c r="N156" s="2" t="str">
        <f t="shared" ca="1" si="19"/>
        <v>Adult</v>
      </c>
      <c r="O156" t="str">
        <f t="shared" ca="1" si="20"/>
        <v>Cancelled</v>
      </c>
    </row>
    <row r="157" spans="1:15">
      <c r="A157" s="2">
        <v>1156</v>
      </c>
      <c r="B157" s="1">
        <v>46053</v>
      </c>
      <c r="C157" s="1" t="str">
        <f t="shared" si="14"/>
        <v>Jan</v>
      </c>
      <c r="D157" s="2" t="s">
        <v>8</v>
      </c>
      <c r="E157" s="2" t="s">
        <v>9</v>
      </c>
      <c r="F157" s="2">
        <v>4</v>
      </c>
      <c r="G157" s="2">
        <f t="shared" ca="1" si="15"/>
        <v>24681</v>
      </c>
      <c r="H157" s="2">
        <v>2928</v>
      </c>
      <c r="I157" s="2">
        <v>1544</v>
      </c>
      <c r="J157" s="2" t="s">
        <v>10</v>
      </c>
      <c r="K157" s="2" t="str">
        <f t="shared" si="16"/>
        <v>Meghalaya</v>
      </c>
      <c r="L157" s="3" t="str">
        <f t="shared" ca="1" si="17"/>
        <v>Male</v>
      </c>
      <c r="M157">
        <f t="shared" ca="1" si="18"/>
        <v>35</v>
      </c>
      <c r="N157" s="2" t="str">
        <f t="shared" ca="1" si="19"/>
        <v>Adult</v>
      </c>
      <c r="O157" t="str">
        <f t="shared" ca="1" si="20"/>
        <v>Deliverd</v>
      </c>
    </row>
    <row r="158" spans="1:15">
      <c r="A158" s="2">
        <v>1157</v>
      </c>
      <c r="B158" s="1">
        <v>46092</v>
      </c>
      <c r="C158" s="1" t="str">
        <f t="shared" si="14"/>
        <v>Mar</v>
      </c>
      <c r="D158" s="2" t="s">
        <v>21</v>
      </c>
      <c r="E158" s="2" t="s">
        <v>20</v>
      </c>
      <c r="F158" s="2">
        <v>5</v>
      </c>
      <c r="G158" s="2">
        <f t="shared" ca="1" si="15"/>
        <v>36045</v>
      </c>
      <c r="H158" s="2">
        <v>76685</v>
      </c>
      <c r="I158" s="2">
        <v>20445</v>
      </c>
      <c r="J158" s="2" t="s">
        <v>16</v>
      </c>
      <c r="K158" s="2" t="str">
        <f t="shared" si="16"/>
        <v>Mizoram</v>
      </c>
      <c r="L158" s="3" t="str">
        <f t="shared" ca="1" si="17"/>
        <v>Female</v>
      </c>
      <c r="M158">
        <f t="shared" ca="1" si="18"/>
        <v>45</v>
      </c>
      <c r="N158" s="2" t="str">
        <f t="shared" ca="1" si="19"/>
        <v>Adult</v>
      </c>
      <c r="O158" t="str">
        <f t="shared" ca="1" si="20"/>
        <v>Cancelled</v>
      </c>
    </row>
    <row r="159" spans="1:15">
      <c r="A159" s="2">
        <v>1158</v>
      </c>
      <c r="B159" s="1">
        <v>46164</v>
      </c>
      <c r="C159" s="1" t="str">
        <f t="shared" si="14"/>
        <v>May</v>
      </c>
      <c r="D159" s="2" t="s">
        <v>21</v>
      </c>
      <c r="E159" s="2" t="s">
        <v>20</v>
      </c>
      <c r="F159" s="2">
        <v>8</v>
      </c>
      <c r="G159" s="2">
        <f t="shared" ca="1" si="15"/>
        <v>18943</v>
      </c>
      <c r="H159" s="2">
        <v>87944</v>
      </c>
      <c r="I159" s="2">
        <v>24560</v>
      </c>
      <c r="J159" s="2" t="s">
        <v>10</v>
      </c>
      <c r="K159" s="2" t="str">
        <f t="shared" si="16"/>
        <v>Nagaland</v>
      </c>
      <c r="L159" s="3" t="str">
        <f t="shared" ca="1" si="17"/>
        <v>Male</v>
      </c>
      <c r="M159">
        <f t="shared" ca="1" si="18"/>
        <v>52</v>
      </c>
      <c r="N159" s="2" t="str">
        <f t="shared" ca="1" si="19"/>
        <v>Adult</v>
      </c>
      <c r="O159" t="str">
        <f t="shared" ca="1" si="20"/>
        <v>Deliverd</v>
      </c>
    </row>
    <row r="160" spans="1:15">
      <c r="A160" s="2">
        <v>1159</v>
      </c>
      <c r="B160" s="1">
        <v>46057</v>
      </c>
      <c r="C160" s="1" t="str">
        <f t="shared" si="14"/>
        <v>Feb</v>
      </c>
      <c r="D160" s="2" t="s">
        <v>19</v>
      </c>
      <c r="E160" s="2" t="s">
        <v>20</v>
      </c>
      <c r="F160" s="2">
        <v>4</v>
      </c>
      <c r="G160" s="2">
        <f t="shared" ca="1" si="15"/>
        <v>37357</v>
      </c>
      <c r="H160" s="2">
        <v>59280</v>
      </c>
      <c r="I160" s="2">
        <v>12324</v>
      </c>
      <c r="J160" s="2" t="s">
        <v>11</v>
      </c>
      <c r="K160" s="2" t="str">
        <f t="shared" si="16"/>
        <v>Odisha</v>
      </c>
      <c r="L160" s="3" t="str">
        <f t="shared" ca="1" si="17"/>
        <v>Female</v>
      </c>
      <c r="M160">
        <f t="shared" ca="1" si="18"/>
        <v>41</v>
      </c>
      <c r="N160" s="2" t="str">
        <f t="shared" ca="1" si="19"/>
        <v>Adult</v>
      </c>
      <c r="O160" t="str">
        <f t="shared" ca="1" si="20"/>
        <v>Cancelled</v>
      </c>
    </row>
    <row r="161" spans="1:15">
      <c r="A161" s="2">
        <v>1160</v>
      </c>
      <c r="B161" s="1">
        <v>46152</v>
      </c>
      <c r="C161" s="1" t="str">
        <f t="shared" si="14"/>
        <v>May</v>
      </c>
      <c r="D161" s="2" t="s">
        <v>18</v>
      </c>
      <c r="E161" s="2" t="s">
        <v>9</v>
      </c>
      <c r="F161" s="2">
        <v>7</v>
      </c>
      <c r="G161" s="2">
        <f t="shared" ca="1" si="15"/>
        <v>44851</v>
      </c>
      <c r="H161" s="2">
        <v>126959</v>
      </c>
      <c r="I161" s="2">
        <v>30982</v>
      </c>
      <c r="J161" s="2" t="s">
        <v>14</v>
      </c>
      <c r="K161" s="2" t="str">
        <f t="shared" si="16"/>
        <v>Punjab</v>
      </c>
      <c r="L161" s="3" t="str">
        <f t="shared" ca="1" si="17"/>
        <v>Male</v>
      </c>
      <c r="M161">
        <f t="shared" ca="1" si="18"/>
        <v>53</v>
      </c>
      <c r="N161" s="2" t="str">
        <f t="shared" ca="1" si="19"/>
        <v>Adult</v>
      </c>
      <c r="O161" t="str">
        <f t="shared" ca="1" si="20"/>
        <v>Pending</v>
      </c>
    </row>
    <row r="162" spans="1:15">
      <c r="A162" s="2">
        <v>1161</v>
      </c>
      <c r="B162" s="1">
        <v>46173</v>
      </c>
      <c r="C162" s="1" t="str">
        <f t="shared" si="14"/>
        <v>May</v>
      </c>
      <c r="D162" s="2" t="s">
        <v>12</v>
      </c>
      <c r="E162" s="2" t="s">
        <v>9</v>
      </c>
      <c r="F162" s="2">
        <v>5</v>
      </c>
      <c r="G162" s="2">
        <f t="shared" ca="1" si="15"/>
        <v>11805</v>
      </c>
      <c r="H162" s="2">
        <v>272830</v>
      </c>
      <c r="I162" s="2">
        <v>59300</v>
      </c>
      <c r="J162" s="2" t="s">
        <v>16</v>
      </c>
      <c r="K162" s="2" t="str">
        <f t="shared" si="16"/>
        <v>Rajasthan</v>
      </c>
      <c r="L162" s="3" t="str">
        <f t="shared" ca="1" si="17"/>
        <v>Male</v>
      </c>
      <c r="M162">
        <f t="shared" ca="1" si="18"/>
        <v>60</v>
      </c>
      <c r="N162" s="2" t="str">
        <f t="shared" ca="1" si="19"/>
        <v>Senior</v>
      </c>
      <c r="O162" t="str">
        <f t="shared" ca="1" si="20"/>
        <v>Pending</v>
      </c>
    </row>
    <row r="163" spans="1:15">
      <c r="A163" s="2">
        <v>1162</v>
      </c>
      <c r="B163" s="1">
        <v>46111</v>
      </c>
      <c r="C163" s="1" t="str">
        <f t="shared" si="14"/>
        <v>Mar</v>
      </c>
      <c r="D163" s="2" t="s">
        <v>17</v>
      </c>
      <c r="E163" s="2" t="s">
        <v>9</v>
      </c>
      <c r="F163" s="2">
        <v>8</v>
      </c>
      <c r="G163" s="2">
        <f t="shared" ca="1" si="15"/>
        <v>42617</v>
      </c>
      <c r="H163" s="2">
        <v>25648</v>
      </c>
      <c r="I163" s="2">
        <v>5960</v>
      </c>
      <c r="J163" s="2" t="s">
        <v>14</v>
      </c>
      <c r="K163" s="2" t="str">
        <f t="shared" si="16"/>
        <v>Sikkim</v>
      </c>
      <c r="L163" s="3" t="str">
        <f t="shared" ca="1" si="17"/>
        <v>Female</v>
      </c>
      <c r="M163">
        <f t="shared" ca="1" si="18"/>
        <v>45</v>
      </c>
      <c r="N163" s="2" t="str">
        <f t="shared" ca="1" si="19"/>
        <v>Adult</v>
      </c>
      <c r="O163" t="str">
        <f t="shared" ca="1" si="20"/>
        <v>Deliverd</v>
      </c>
    </row>
    <row r="164" spans="1:15">
      <c r="A164" s="2">
        <v>1163</v>
      </c>
      <c r="B164" s="1">
        <v>46201</v>
      </c>
      <c r="C164" s="1" t="str">
        <f t="shared" si="14"/>
        <v>Jun</v>
      </c>
      <c r="D164" s="2" t="s">
        <v>19</v>
      </c>
      <c r="E164" s="2" t="s">
        <v>20</v>
      </c>
      <c r="F164" s="2">
        <v>8</v>
      </c>
      <c r="G164" s="2">
        <f t="shared" ca="1" si="15"/>
        <v>38657</v>
      </c>
      <c r="H164" s="2">
        <v>82176</v>
      </c>
      <c r="I164" s="2">
        <v>14176</v>
      </c>
      <c r="J164" s="2" t="s">
        <v>10</v>
      </c>
      <c r="K164" s="2" t="str">
        <f t="shared" si="16"/>
        <v>Tamil Nadu</v>
      </c>
      <c r="L164" s="3" t="str">
        <f t="shared" ca="1" si="17"/>
        <v>Female</v>
      </c>
      <c r="M164">
        <f t="shared" ca="1" si="18"/>
        <v>28</v>
      </c>
      <c r="N164" s="2" t="str">
        <f t="shared" ca="1" si="19"/>
        <v>Adult</v>
      </c>
      <c r="O164" t="str">
        <f t="shared" ca="1" si="20"/>
        <v>Pending</v>
      </c>
    </row>
    <row r="165" spans="1:15">
      <c r="A165" s="2">
        <v>1164</v>
      </c>
      <c r="B165" s="1">
        <v>46104</v>
      </c>
      <c r="C165" s="1" t="str">
        <f t="shared" si="14"/>
        <v>Mar</v>
      </c>
      <c r="D165" s="2" t="s">
        <v>19</v>
      </c>
      <c r="E165" s="2" t="s">
        <v>20</v>
      </c>
      <c r="F165" s="2">
        <v>4</v>
      </c>
      <c r="G165" s="2">
        <f t="shared" ca="1" si="15"/>
        <v>25624</v>
      </c>
      <c r="H165" s="2">
        <v>46920</v>
      </c>
      <c r="I165" s="2">
        <v>4712</v>
      </c>
      <c r="J165" s="2" t="s">
        <v>16</v>
      </c>
      <c r="K165" s="2" t="str">
        <f t="shared" si="16"/>
        <v>Telangana</v>
      </c>
      <c r="L165" s="3" t="str">
        <f t="shared" ca="1" si="17"/>
        <v>Female</v>
      </c>
      <c r="M165">
        <f t="shared" ca="1" si="18"/>
        <v>51</v>
      </c>
      <c r="N165" s="2" t="str">
        <f t="shared" ca="1" si="19"/>
        <v>Adult</v>
      </c>
      <c r="O165" t="str">
        <f t="shared" ca="1" si="20"/>
        <v>Cancelled</v>
      </c>
    </row>
    <row r="166" spans="1:15">
      <c r="A166" s="2">
        <v>1165</v>
      </c>
      <c r="B166" s="1">
        <v>46032</v>
      </c>
      <c r="C166" s="1" t="str">
        <f t="shared" si="14"/>
        <v>Jan</v>
      </c>
      <c r="D166" s="2" t="s">
        <v>19</v>
      </c>
      <c r="E166" s="2" t="s">
        <v>20</v>
      </c>
      <c r="F166" s="2">
        <v>7</v>
      </c>
      <c r="G166" s="2">
        <f t="shared" ca="1" si="15"/>
        <v>18129</v>
      </c>
      <c r="H166" s="2">
        <v>52444</v>
      </c>
      <c r="I166" s="2">
        <v>21196</v>
      </c>
      <c r="J166" s="2" t="s">
        <v>10</v>
      </c>
      <c r="K166" s="2" t="str">
        <f t="shared" si="16"/>
        <v>Tripura</v>
      </c>
      <c r="L166" s="3" t="str">
        <f t="shared" ca="1" si="17"/>
        <v>Male</v>
      </c>
      <c r="M166">
        <f t="shared" ca="1" si="18"/>
        <v>47</v>
      </c>
      <c r="N166" s="2" t="str">
        <f t="shared" ca="1" si="19"/>
        <v>Adult</v>
      </c>
      <c r="O166" t="str">
        <f t="shared" ca="1" si="20"/>
        <v>Pending</v>
      </c>
    </row>
    <row r="167" spans="1:15">
      <c r="A167" s="2">
        <v>1166</v>
      </c>
      <c r="B167" s="1">
        <v>46157</v>
      </c>
      <c r="C167" s="1" t="str">
        <f t="shared" si="14"/>
        <v>May</v>
      </c>
      <c r="D167" s="2" t="s">
        <v>15</v>
      </c>
      <c r="E167" s="2" t="s">
        <v>9</v>
      </c>
      <c r="F167" s="2">
        <v>2</v>
      </c>
      <c r="G167" s="2">
        <f t="shared" ca="1" si="15"/>
        <v>23962</v>
      </c>
      <c r="H167" s="2">
        <v>10212</v>
      </c>
      <c r="I167" s="2">
        <v>1008</v>
      </c>
      <c r="J167" s="2" t="s">
        <v>16</v>
      </c>
      <c r="K167" s="2" t="str">
        <f t="shared" si="16"/>
        <v>Uttar Pradesh</v>
      </c>
      <c r="L167" s="3" t="str">
        <f t="shared" ca="1" si="17"/>
        <v>Male</v>
      </c>
      <c r="M167">
        <f t="shared" ca="1" si="18"/>
        <v>48</v>
      </c>
      <c r="N167" s="2" t="str">
        <f t="shared" ca="1" si="19"/>
        <v>Adult</v>
      </c>
      <c r="O167" t="str">
        <f t="shared" ca="1" si="20"/>
        <v>Pending</v>
      </c>
    </row>
    <row r="168" spans="1:15">
      <c r="A168" s="2">
        <v>1167</v>
      </c>
      <c r="B168" s="1">
        <v>46062</v>
      </c>
      <c r="C168" s="1" t="str">
        <f t="shared" si="14"/>
        <v>Feb</v>
      </c>
      <c r="D168" s="2" t="s">
        <v>12</v>
      </c>
      <c r="E168" s="2" t="s">
        <v>9</v>
      </c>
      <c r="F168" s="2">
        <v>3</v>
      </c>
      <c r="G168" s="2">
        <f t="shared" ca="1" si="15"/>
        <v>33235</v>
      </c>
      <c r="H168" s="2">
        <v>185604</v>
      </c>
      <c r="I168" s="2">
        <v>31089</v>
      </c>
      <c r="J168" s="2" t="s">
        <v>11</v>
      </c>
      <c r="K168" s="2" t="str">
        <f t="shared" si="16"/>
        <v>Uttarakhand</v>
      </c>
      <c r="L168" s="3" t="str">
        <f t="shared" ca="1" si="17"/>
        <v>Male</v>
      </c>
      <c r="M168">
        <f t="shared" ca="1" si="18"/>
        <v>40</v>
      </c>
      <c r="N168" s="2" t="str">
        <f t="shared" ca="1" si="19"/>
        <v>Adult</v>
      </c>
      <c r="O168" t="str">
        <f t="shared" ca="1" si="20"/>
        <v>Deliverd</v>
      </c>
    </row>
    <row r="169" spans="1:15">
      <c r="A169" s="2">
        <v>1168</v>
      </c>
      <c r="B169" s="1">
        <v>46200</v>
      </c>
      <c r="C169" s="1" t="str">
        <f t="shared" si="14"/>
        <v>Jun</v>
      </c>
      <c r="D169" s="2" t="s">
        <v>21</v>
      </c>
      <c r="E169" s="2" t="s">
        <v>20</v>
      </c>
      <c r="F169" s="2">
        <v>5</v>
      </c>
      <c r="G169" s="2">
        <f t="shared" ca="1" si="15"/>
        <v>19612</v>
      </c>
      <c r="H169" s="2">
        <v>62730</v>
      </c>
      <c r="I169" s="2">
        <v>18760</v>
      </c>
      <c r="J169" s="2" t="s">
        <v>16</v>
      </c>
      <c r="K169" s="2" t="str">
        <f t="shared" si="16"/>
        <v>West Bengal</v>
      </c>
      <c r="L169" s="3" t="str">
        <f t="shared" ca="1" si="17"/>
        <v>Female</v>
      </c>
      <c r="M169">
        <f t="shared" ca="1" si="18"/>
        <v>27</v>
      </c>
      <c r="N169" s="2" t="str">
        <f t="shared" ca="1" si="19"/>
        <v>Adult</v>
      </c>
      <c r="O169" t="str">
        <f t="shared" ca="1" si="20"/>
        <v>Deliverd</v>
      </c>
    </row>
    <row r="170" spans="1:15">
      <c r="A170" s="2">
        <v>1169</v>
      </c>
      <c r="B170" s="1">
        <v>46159</v>
      </c>
      <c r="C170" s="1" t="str">
        <f t="shared" si="14"/>
        <v>May</v>
      </c>
      <c r="D170" s="2" t="s">
        <v>8</v>
      </c>
      <c r="E170" s="2" t="s">
        <v>9</v>
      </c>
      <c r="F170" s="2">
        <v>6</v>
      </c>
      <c r="G170" s="2">
        <f t="shared" ca="1" si="15"/>
        <v>49497</v>
      </c>
      <c r="H170" s="2">
        <v>11286</v>
      </c>
      <c r="I170" s="2">
        <v>3534</v>
      </c>
      <c r="J170" s="2" t="s">
        <v>16</v>
      </c>
      <c r="K170" s="2" t="str">
        <f t="shared" si="16"/>
        <v>Andhra Pradesh</v>
      </c>
      <c r="L170" s="3" t="str">
        <f t="shared" ca="1" si="17"/>
        <v>Male</v>
      </c>
      <c r="M170">
        <f t="shared" ca="1" si="18"/>
        <v>44</v>
      </c>
      <c r="N170" s="2" t="str">
        <f t="shared" ca="1" si="19"/>
        <v>Adult</v>
      </c>
      <c r="O170" t="str">
        <f t="shared" ca="1" si="20"/>
        <v>Cancelled</v>
      </c>
    </row>
    <row r="171" spans="1:15">
      <c r="A171" s="2">
        <v>1170</v>
      </c>
      <c r="B171" s="1">
        <v>46181</v>
      </c>
      <c r="C171" s="1" t="str">
        <f t="shared" si="14"/>
        <v>Jun</v>
      </c>
      <c r="D171" s="2" t="s">
        <v>15</v>
      </c>
      <c r="E171" s="2" t="s">
        <v>9</v>
      </c>
      <c r="F171" s="2">
        <v>8</v>
      </c>
      <c r="G171" s="2">
        <f t="shared" ca="1" si="15"/>
        <v>39158</v>
      </c>
      <c r="H171" s="2">
        <v>47456</v>
      </c>
      <c r="I171" s="2">
        <v>2984</v>
      </c>
      <c r="J171" s="2" t="s">
        <v>11</v>
      </c>
      <c r="K171" s="2" t="str">
        <f t="shared" si="16"/>
        <v>Arunachal Pradesh</v>
      </c>
      <c r="L171" s="3" t="str">
        <f t="shared" ca="1" si="17"/>
        <v>Female</v>
      </c>
      <c r="M171">
        <f t="shared" ca="1" si="18"/>
        <v>23</v>
      </c>
      <c r="N171" s="2" t="str">
        <f t="shared" ca="1" si="19"/>
        <v>Adult</v>
      </c>
      <c r="O171" t="str">
        <f t="shared" ca="1" si="20"/>
        <v>Deliverd</v>
      </c>
    </row>
    <row r="172" spans="1:15">
      <c r="A172" s="2">
        <v>1171</v>
      </c>
      <c r="B172" s="1">
        <v>46134</v>
      </c>
      <c r="C172" s="1" t="str">
        <f t="shared" si="14"/>
        <v>Apr</v>
      </c>
      <c r="D172" s="2" t="s">
        <v>13</v>
      </c>
      <c r="E172" s="2" t="s">
        <v>9</v>
      </c>
      <c r="F172" s="2">
        <v>5</v>
      </c>
      <c r="G172" s="2">
        <f t="shared" ca="1" si="15"/>
        <v>31617</v>
      </c>
      <c r="H172" s="2">
        <v>77270</v>
      </c>
      <c r="I172" s="2">
        <v>11200</v>
      </c>
      <c r="J172" s="2" t="s">
        <v>11</v>
      </c>
      <c r="K172" s="2" t="str">
        <f t="shared" si="16"/>
        <v>Assam</v>
      </c>
      <c r="L172" s="3" t="str">
        <f t="shared" ca="1" si="17"/>
        <v>Female</v>
      </c>
      <c r="M172">
        <f t="shared" ca="1" si="18"/>
        <v>40</v>
      </c>
      <c r="N172" s="2" t="str">
        <f t="shared" ca="1" si="19"/>
        <v>Adult</v>
      </c>
      <c r="O172" t="str">
        <f t="shared" ca="1" si="20"/>
        <v>Cancelled</v>
      </c>
    </row>
    <row r="173" spans="1:15">
      <c r="A173" s="2">
        <v>1172</v>
      </c>
      <c r="B173" s="1">
        <v>46099</v>
      </c>
      <c r="C173" s="1" t="str">
        <f t="shared" si="14"/>
        <v>Mar</v>
      </c>
      <c r="D173" s="2" t="s">
        <v>8</v>
      </c>
      <c r="E173" s="2" t="s">
        <v>9</v>
      </c>
      <c r="F173" s="2">
        <v>8</v>
      </c>
      <c r="G173" s="2">
        <f t="shared" ca="1" si="15"/>
        <v>40293</v>
      </c>
      <c r="H173" s="2">
        <v>6720</v>
      </c>
      <c r="I173" s="2">
        <v>4040</v>
      </c>
      <c r="J173" s="2" t="s">
        <v>11</v>
      </c>
      <c r="K173" s="2" t="str">
        <f t="shared" si="16"/>
        <v>Bihar</v>
      </c>
      <c r="L173" s="3" t="str">
        <f t="shared" ca="1" si="17"/>
        <v>Female</v>
      </c>
      <c r="M173">
        <f t="shared" ca="1" si="18"/>
        <v>31</v>
      </c>
      <c r="N173" s="2" t="str">
        <f t="shared" ca="1" si="19"/>
        <v>Adult</v>
      </c>
      <c r="O173" t="str">
        <f t="shared" ca="1" si="20"/>
        <v>Pending</v>
      </c>
    </row>
    <row r="174" spans="1:15">
      <c r="A174" s="2">
        <v>1173</v>
      </c>
      <c r="B174" s="1">
        <v>46114</v>
      </c>
      <c r="C174" s="1" t="str">
        <f t="shared" si="14"/>
        <v>Apr</v>
      </c>
      <c r="D174" s="2" t="s">
        <v>12</v>
      </c>
      <c r="E174" s="2" t="s">
        <v>9</v>
      </c>
      <c r="F174" s="2">
        <v>6</v>
      </c>
      <c r="G174" s="2">
        <f t="shared" ca="1" si="15"/>
        <v>19685</v>
      </c>
      <c r="H174" s="2">
        <v>232062</v>
      </c>
      <c r="I174" s="2">
        <v>44418</v>
      </c>
      <c r="J174" s="2" t="s">
        <v>14</v>
      </c>
      <c r="K174" s="2" t="str">
        <f t="shared" si="16"/>
        <v>Chhattisgarh</v>
      </c>
      <c r="L174" s="3" t="str">
        <f t="shared" ca="1" si="17"/>
        <v>Male</v>
      </c>
      <c r="M174">
        <f t="shared" ca="1" si="18"/>
        <v>47</v>
      </c>
      <c r="N174" s="2" t="str">
        <f t="shared" ca="1" si="19"/>
        <v>Adult</v>
      </c>
      <c r="O174" t="str">
        <f t="shared" ca="1" si="20"/>
        <v>Pending</v>
      </c>
    </row>
    <row r="175" spans="1:15">
      <c r="A175" s="2">
        <v>1174</v>
      </c>
      <c r="B175" s="1">
        <v>46128</v>
      </c>
      <c r="C175" s="1" t="str">
        <f t="shared" si="14"/>
        <v>Apr</v>
      </c>
      <c r="D175" s="2" t="s">
        <v>19</v>
      </c>
      <c r="E175" s="2" t="s">
        <v>20</v>
      </c>
      <c r="F175" s="2">
        <v>3</v>
      </c>
      <c r="G175" s="2">
        <f t="shared" ca="1" si="15"/>
        <v>34836</v>
      </c>
      <c r="H175" s="2">
        <v>27000</v>
      </c>
      <c r="I175" s="2">
        <v>9525</v>
      </c>
      <c r="J175" s="2" t="s">
        <v>10</v>
      </c>
      <c r="K175" s="2" t="str">
        <f t="shared" si="16"/>
        <v>Goa</v>
      </c>
      <c r="L175" s="3" t="str">
        <f t="shared" ca="1" si="17"/>
        <v>Male</v>
      </c>
      <c r="M175">
        <f t="shared" ca="1" si="18"/>
        <v>58</v>
      </c>
      <c r="N175" s="2" t="str">
        <f t="shared" ca="1" si="19"/>
        <v>Adult</v>
      </c>
      <c r="O175" t="str">
        <f t="shared" ca="1" si="20"/>
        <v>Deliverd</v>
      </c>
    </row>
    <row r="176" spans="1:15">
      <c r="A176" s="2">
        <v>1175</v>
      </c>
      <c r="B176" s="1">
        <v>46120</v>
      </c>
      <c r="C176" s="1" t="str">
        <f t="shared" si="14"/>
        <v>Apr</v>
      </c>
      <c r="D176" s="2" t="s">
        <v>17</v>
      </c>
      <c r="E176" s="2" t="s">
        <v>9</v>
      </c>
      <c r="F176" s="2">
        <v>3</v>
      </c>
      <c r="G176" s="2">
        <f t="shared" ca="1" si="15"/>
        <v>21393</v>
      </c>
      <c r="H176" s="2">
        <v>3969</v>
      </c>
      <c r="I176" s="2">
        <v>2622</v>
      </c>
      <c r="J176" s="2" t="s">
        <v>10</v>
      </c>
      <c r="K176" s="2" t="str">
        <f t="shared" si="16"/>
        <v>Gujarat</v>
      </c>
      <c r="L176" s="3" t="str">
        <f t="shared" ca="1" si="17"/>
        <v>Female</v>
      </c>
      <c r="M176">
        <f t="shared" ca="1" si="18"/>
        <v>24</v>
      </c>
      <c r="N176" s="2" t="str">
        <f t="shared" ca="1" si="19"/>
        <v>Adult</v>
      </c>
      <c r="O176" t="str">
        <f t="shared" ca="1" si="20"/>
        <v>Pending</v>
      </c>
    </row>
    <row r="177" spans="1:15">
      <c r="A177" s="2">
        <v>1176</v>
      </c>
      <c r="B177" s="1">
        <v>46141</v>
      </c>
      <c r="C177" s="1" t="str">
        <f t="shared" si="14"/>
        <v>Apr</v>
      </c>
      <c r="D177" s="2" t="s">
        <v>21</v>
      </c>
      <c r="E177" s="2" t="s">
        <v>20</v>
      </c>
      <c r="F177" s="2">
        <v>10</v>
      </c>
      <c r="G177" s="2">
        <f t="shared" ca="1" si="15"/>
        <v>31556</v>
      </c>
      <c r="H177" s="2">
        <v>93440</v>
      </c>
      <c r="I177" s="2">
        <v>21510</v>
      </c>
      <c r="J177" s="2" t="s">
        <v>14</v>
      </c>
      <c r="K177" s="2" t="str">
        <f t="shared" si="16"/>
        <v>Haryana</v>
      </c>
      <c r="L177" s="3" t="str">
        <f t="shared" ca="1" si="17"/>
        <v>Female</v>
      </c>
      <c r="M177">
        <f t="shared" ca="1" si="18"/>
        <v>50</v>
      </c>
      <c r="N177" s="2" t="str">
        <f t="shared" ca="1" si="19"/>
        <v>Adult</v>
      </c>
      <c r="O177" t="str">
        <f t="shared" ca="1" si="20"/>
        <v>Deliverd</v>
      </c>
    </row>
    <row r="178" spans="1:15">
      <c r="A178" s="2">
        <v>1177</v>
      </c>
      <c r="B178" s="1">
        <v>46142</v>
      </c>
      <c r="C178" s="1" t="str">
        <f t="shared" si="14"/>
        <v>Apr</v>
      </c>
      <c r="D178" s="2" t="s">
        <v>21</v>
      </c>
      <c r="E178" s="2" t="s">
        <v>20</v>
      </c>
      <c r="F178" s="2">
        <v>5</v>
      </c>
      <c r="G178" s="2">
        <f t="shared" ca="1" si="15"/>
        <v>16158</v>
      </c>
      <c r="H178" s="2">
        <v>89625</v>
      </c>
      <c r="I178" s="2">
        <v>6190</v>
      </c>
      <c r="J178" s="2" t="s">
        <v>14</v>
      </c>
      <c r="K178" s="2" t="str">
        <f t="shared" si="16"/>
        <v>Himachal Pradesh</v>
      </c>
      <c r="L178" s="3" t="str">
        <f t="shared" ca="1" si="17"/>
        <v>Male</v>
      </c>
      <c r="M178">
        <f t="shared" ca="1" si="18"/>
        <v>48</v>
      </c>
      <c r="N178" s="2" t="str">
        <f t="shared" ca="1" si="19"/>
        <v>Adult</v>
      </c>
      <c r="O178" t="str">
        <f t="shared" ca="1" si="20"/>
        <v>Pending</v>
      </c>
    </row>
    <row r="179" spans="1:15">
      <c r="A179" s="2">
        <v>1178</v>
      </c>
      <c r="B179" s="1">
        <v>46173</v>
      </c>
      <c r="C179" s="1" t="str">
        <f t="shared" si="14"/>
        <v>May</v>
      </c>
      <c r="D179" s="2" t="s">
        <v>17</v>
      </c>
      <c r="E179" s="2" t="s">
        <v>9</v>
      </c>
      <c r="F179" s="2">
        <v>2</v>
      </c>
      <c r="G179" s="2">
        <f t="shared" ca="1" si="15"/>
        <v>27191</v>
      </c>
      <c r="H179" s="2">
        <v>5618</v>
      </c>
      <c r="I179" s="2">
        <v>1206</v>
      </c>
      <c r="J179" s="2" t="s">
        <v>14</v>
      </c>
      <c r="K179" s="2" t="str">
        <f t="shared" si="16"/>
        <v>Jharkhand</v>
      </c>
      <c r="L179" s="3" t="str">
        <f t="shared" ca="1" si="17"/>
        <v>Male</v>
      </c>
      <c r="M179">
        <f t="shared" ca="1" si="18"/>
        <v>18</v>
      </c>
      <c r="N179" s="2" t="str">
        <f t="shared" ca="1" si="19"/>
        <v>Teenager</v>
      </c>
      <c r="O179" t="str">
        <f t="shared" ca="1" si="20"/>
        <v>Deliverd</v>
      </c>
    </row>
    <row r="180" spans="1:15">
      <c r="A180" s="2">
        <v>1179</v>
      </c>
      <c r="B180" s="1">
        <v>46073</v>
      </c>
      <c r="C180" s="1" t="str">
        <f t="shared" si="14"/>
        <v>Feb</v>
      </c>
      <c r="D180" s="2" t="s">
        <v>19</v>
      </c>
      <c r="E180" s="2" t="s">
        <v>20</v>
      </c>
      <c r="F180" s="2">
        <v>5</v>
      </c>
      <c r="G180" s="2">
        <f t="shared" ca="1" si="15"/>
        <v>25789</v>
      </c>
      <c r="H180" s="2">
        <v>62420</v>
      </c>
      <c r="I180" s="2">
        <v>11185</v>
      </c>
      <c r="J180" s="2" t="s">
        <v>16</v>
      </c>
      <c r="K180" s="2" t="str">
        <f t="shared" si="16"/>
        <v>Karnataka</v>
      </c>
      <c r="L180" s="3" t="str">
        <f t="shared" ca="1" si="17"/>
        <v>Male</v>
      </c>
      <c r="M180">
        <f t="shared" ca="1" si="18"/>
        <v>21</v>
      </c>
      <c r="N180" s="2" t="str">
        <f t="shared" ca="1" si="19"/>
        <v>Adult</v>
      </c>
      <c r="O180" t="str">
        <f t="shared" ca="1" si="20"/>
        <v>Cancelled</v>
      </c>
    </row>
    <row r="181" spans="1:15">
      <c r="A181" s="2">
        <v>1180</v>
      </c>
      <c r="B181" s="1">
        <v>46169</v>
      </c>
      <c r="C181" s="1" t="str">
        <f t="shared" si="14"/>
        <v>May</v>
      </c>
      <c r="D181" s="2" t="s">
        <v>21</v>
      </c>
      <c r="E181" s="2" t="s">
        <v>20</v>
      </c>
      <c r="F181" s="2">
        <v>2</v>
      </c>
      <c r="G181" s="2">
        <f t="shared" ca="1" si="15"/>
        <v>4390</v>
      </c>
      <c r="H181" s="2">
        <v>21772</v>
      </c>
      <c r="I181" s="2">
        <v>5524</v>
      </c>
      <c r="J181" s="2" t="s">
        <v>14</v>
      </c>
      <c r="K181" s="2" t="str">
        <f t="shared" si="16"/>
        <v>Kerala</v>
      </c>
      <c r="L181" s="3" t="str">
        <f t="shared" ca="1" si="17"/>
        <v>Male</v>
      </c>
      <c r="M181">
        <f t="shared" ca="1" si="18"/>
        <v>32</v>
      </c>
      <c r="N181" s="2" t="str">
        <f t="shared" ca="1" si="19"/>
        <v>Adult</v>
      </c>
      <c r="O181" t="str">
        <f t="shared" ca="1" si="20"/>
        <v>Deliverd</v>
      </c>
    </row>
    <row r="182" spans="1:15">
      <c r="A182" s="2">
        <v>1181</v>
      </c>
      <c r="B182" s="1">
        <v>46191</v>
      </c>
      <c r="C182" s="1" t="str">
        <f t="shared" si="14"/>
        <v>Jun</v>
      </c>
      <c r="D182" s="2" t="s">
        <v>18</v>
      </c>
      <c r="E182" s="2" t="s">
        <v>9</v>
      </c>
      <c r="F182" s="2">
        <v>5</v>
      </c>
      <c r="G182" s="2">
        <f t="shared" ca="1" si="15"/>
        <v>44938</v>
      </c>
      <c r="H182" s="2">
        <v>38590</v>
      </c>
      <c r="I182" s="2">
        <v>22995</v>
      </c>
      <c r="J182" s="2" t="s">
        <v>16</v>
      </c>
      <c r="K182" s="2" t="str">
        <f t="shared" si="16"/>
        <v>Madhya Pradesh</v>
      </c>
      <c r="L182" s="3" t="str">
        <f t="shared" ca="1" si="17"/>
        <v>Female</v>
      </c>
      <c r="M182">
        <f t="shared" ca="1" si="18"/>
        <v>21</v>
      </c>
      <c r="N182" s="2" t="str">
        <f t="shared" ca="1" si="19"/>
        <v>Adult</v>
      </c>
      <c r="O182" t="str">
        <f t="shared" ca="1" si="20"/>
        <v>Cancelled</v>
      </c>
    </row>
    <row r="183" spans="1:15">
      <c r="A183" s="2">
        <v>1182</v>
      </c>
      <c r="B183" s="1">
        <v>46178</v>
      </c>
      <c r="C183" s="1" t="str">
        <f t="shared" si="14"/>
        <v>Jun</v>
      </c>
      <c r="D183" s="2" t="s">
        <v>18</v>
      </c>
      <c r="E183" s="2" t="s">
        <v>9</v>
      </c>
      <c r="F183" s="2">
        <v>1</v>
      </c>
      <c r="G183" s="2">
        <f t="shared" ca="1" si="15"/>
        <v>22487</v>
      </c>
      <c r="H183" s="2">
        <v>8607</v>
      </c>
      <c r="I183" s="2">
        <v>4929</v>
      </c>
      <c r="J183" s="2" t="s">
        <v>16</v>
      </c>
      <c r="K183" s="2" t="str">
        <f t="shared" si="16"/>
        <v>Maharashtra</v>
      </c>
      <c r="L183" s="3" t="str">
        <f t="shared" ca="1" si="17"/>
        <v>Female</v>
      </c>
      <c r="M183">
        <f t="shared" ca="1" si="18"/>
        <v>54</v>
      </c>
      <c r="N183" s="2" t="str">
        <f t="shared" ca="1" si="19"/>
        <v>Adult</v>
      </c>
      <c r="O183" t="str">
        <f t="shared" ca="1" si="20"/>
        <v>Deliverd</v>
      </c>
    </row>
    <row r="184" spans="1:15">
      <c r="A184" s="2">
        <v>1183</v>
      </c>
      <c r="B184" s="1">
        <v>46185</v>
      </c>
      <c r="C184" s="1" t="str">
        <f t="shared" si="14"/>
        <v>Jun</v>
      </c>
      <c r="D184" s="2" t="s">
        <v>18</v>
      </c>
      <c r="E184" s="2" t="s">
        <v>9</v>
      </c>
      <c r="F184" s="2">
        <v>4</v>
      </c>
      <c r="G184" s="2">
        <f t="shared" ca="1" si="15"/>
        <v>35852</v>
      </c>
      <c r="H184" s="2">
        <v>74176</v>
      </c>
      <c r="I184" s="2">
        <v>8388</v>
      </c>
      <c r="J184" s="2" t="s">
        <v>10</v>
      </c>
      <c r="K184" s="2" t="str">
        <f t="shared" si="16"/>
        <v>Manipur</v>
      </c>
      <c r="L184" s="3" t="str">
        <f t="shared" ca="1" si="17"/>
        <v>Male</v>
      </c>
      <c r="M184">
        <f t="shared" ca="1" si="18"/>
        <v>36</v>
      </c>
      <c r="N184" s="2" t="str">
        <f t="shared" ca="1" si="19"/>
        <v>Adult</v>
      </c>
      <c r="O184" t="str">
        <f t="shared" ca="1" si="20"/>
        <v>Pending</v>
      </c>
    </row>
    <row r="185" spans="1:15">
      <c r="A185" s="2">
        <v>1184</v>
      </c>
      <c r="B185" s="1">
        <v>46183</v>
      </c>
      <c r="C185" s="1" t="str">
        <f t="shared" si="14"/>
        <v>Jun</v>
      </c>
      <c r="D185" s="2" t="s">
        <v>18</v>
      </c>
      <c r="E185" s="2" t="s">
        <v>9</v>
      </c>
      <c r="F185" s="2">
        <v>3</v>
      </c>
      <c r="G185" s="2">
        <f t="shared" ca="1" si="15"/>
        <v>38394</v>
      </c>
      <c r="H185" s="2">
        <v>30549</v>
      </c>
      <c r="I185" s="2">
        <v>14700</v>
      </c>
      <c r="J185" s="2" t="s">
        <v>11</v>
      </c>
      <c r="K185" s="2" t="str">
        <f t="shared" si="16"/>
        <v>Meghalaya</v>
      </c>
      <c r="L185" s="3" t="str">
        <f t="shared" ca="1" si="17"/>
        <v>Female</v>
      </c>
      <c r="M185">
        <f t="shared" ca="1" si="18"/>
        <v>18</v>
      </c>
      <c r="N185" s="2" t="str">
        <f t="shared" ca="1" si="19"/>
        <v>Teenager</v>
      </c>
      <c r="O185" t="str">
        <f t="shared" ca="1" si="20"/>
        <v>Cancelled</v>
      </c>
    </row>
    <row r="186" spans="1:15">
      <c r="A186" s="2">
        <v>1185</v>
      </c>
      <c r="B186" s="1">
        <v>46116</v>
      </c>
      <c r="C186" s="1" t="str">
        <f t="shared" si="14"/>
        <v>Apr</v>
      </c>
      <c r="D186" s="2" t="s">
        <v>18</v>
      </c>
      <c r="E186" s="2" t="s">
        <v>9</v>
      </c>
      <c r="F186" s="2">
        <v>8</v>
      </c>
      <c r="G186" s="2">
        <f t="shared" ca="1" si="15"/>
        <v>28870</v>
      </c>
      <c r="H186" s="2">
        <v>64744</v>
      </c>
      <c r="I186" s="2">
        <v>28584</v>
      </c>
      <c r="J186" s="2" t="s">
        <v>10</v>
      </c>
      <c r="K186" s="2" t="str">
        <f t="shared" si="16"/>
        <v>Mizoram</v>
      </c>
      <c r="L186" s="3" t="str">
        <f t="shared" ca="1" si="17"/>
        <v>Female</v>
      </c>
      <c r="M186">
        <f t="shared" ca="1" si="18"/>
        <v>35</v>
      </c>
      <c r="N186" s="2" t="str">
        <f t="shared" ca="1" si="19"/>
        <v>Adult</v>
      </c>
      <c r="O186" t="str">
        <f t="shared" ca="1" si="20"/>
        <v>Cancelled</v>
      </c>
    </row>
    <row r="187" spans="1:15">
      <c r="A187" s="2">
        <v>1186</v>
      </c>
      <c r="B187" s="1">
        <v>46129</v>
      </c>
      <c r="C187" s="1" t="str">
        <f t="shared" si="14"/>
        <v>Apr</v>
      </c>
      <c r="D187" s="2" t="s">
        <v>8</v>
      </c>
      <c r="E187" s="2" t="s">
        <v>9</v>
      </c>
      <c r="F187" s="2">
        <v>5</v>
      </c>
      <c r="G187" s="2">
        <f t="shared" ca="1" si="15"/>
        <v>38485</v>
      </c>
      <c r="H187" s="2">
        <v>5845</v>
      </c>
      <c r="I187" s="2">
        <v>2660</v>
      </c>
      <c r="J187" s="2" t="s">
        <v>10</v>
      </c>
      <c r="K187" s="2" t="str">
        <f t="shared" si="16"/>
        <v>Nagaland</v>
      </c>
      <c r="L187" s="3" t="str">
        <f t="shared" ca="1" si="17"/>
        <v>Female</v>
      </c>
      <c r="M187">
        <f t="shared" ca="1" si="18"/>
        <v>40</v>
      </c>
      <c r="N187" s="2" t="str">
        <f t="shared" ca="1" si="19"/>
        <v>Adult</v>
      </c>
      <c r="O187" t="str">
        <f t="shared" ca="1" si="20"/>
        <v>Cancelled</v>
      </c>
    </row>
    <row r="188" spans="1:15">
      <c r="A188" s="2">
        <v>1187</v>
      </c>
      <c r="B188" s="1">
        <v>46158</v>
      </c>
      <c r="C188" s="1" t="str">
        <f t="shared" si="14"/>
        <v>May</v>
      </c>
      <c r="D188" s="2" t="s">
        <v>13</v>
      </c>
      <c r="E188" s="2" t="s">
        <v>9</v>
      </c>
      <c r="F188" s="2">
        <v>3</v>
      </c>
      <c r="G188" s="2">
        <f t="shared" ca="1" si="15"/>
        <v>7287</v>
      </c>
      <c r="H188" s="2">
        <v>77025</v>
      </c>
      <c r="I188" s="2">
        <v>13491</v>
      </c>
      <c r="J188" s="2" t="s">
        <v>14</v>
      </c>
      <c r="K188" s="2" t="str">
        <f t="shared" si="16"/>
        <v>Odisha</v>
      </c>
      <c r="L188" s="3" t="str">
        <f t="shared" ca="1" si="17"/>
        <v>Female</v>
      </c>
      <c r="M188">
        <f t="shared" ca="1" si="18"/>
        <v>33</v>
      </c>
      <c r="N188" s="2" t="str">
        <f t="shared" ca="1" si="19"/>
        <v>Adult</v>
      </c>
      <c r="O188" t="str">
        <f t="shared" ca="1" si="20"/>
        <v>Cancelled</v>
      </c>
    </row>
    <row r="189" spans="1:15">
      <c r="A189" s="2">
        <v>1188</v>
      </c>
      <c r="B189" s="1">
        <v>46109</v>
      </c>
      <c r="C189" s="1" t="str">
        <f t="shared" si="14"/>
        <v>Mar</v>
      </c>
      <c r="D189" s="2" t="s">
        <v>17</v>
      </c>
      <c r="E189" s="2" t="s">
        <v>9</v>
      </c>
      <c r="F189" s="2">
        <v>5</v>
      </c>
      <c r="G189" s="2">
        <f t="shared" ca="1" si="15"/>
        <v>18085</v>
      </c>
      <c r="H189" s="2">
        <v>14865</v>
      </c>
      <c r="I189" s="2">
        <v>2760</v>
      </c>
      <c r="J189" s="2" t="s">
        <v>11</v>
      </c>
      <c r="K189" s="2" t="str">
        <f t="shared" si="16"/>
        <v>Punjab</v>
      </c>
      <c r="L189" s="3" t="str">
        <f t="shared" ca="1" si="17"/>
        <v>Female</v>
      </c>
      <c r="M189">
        <f t="shared" ca="1" si="18"/>
        <v>20</v>
      </c>
      <c r="N189" s="2" t="str">
        <f t="shared" ca="1" si="19"/>
        <v>Adult</v>
      </c>
      <c r="O189" t="str">
        <f t="shared" ca="1" si="20"/>
        <v>Pending</v>
      </c>
    </row>
    <row r="190" spans="1:15">
      <c r="A190" s="2">
        <v>1189</v>
      </c>
      <c r="B190" s="1">
        <v>46080</v>
      </c>
      <c r="C190" s="1" t="str">
        <f t="shared" si="14"/>
        <v>Feb</v>
      </c>
      <c r="D190" s="2" t="s">
        <v>21</v>
      </c>
      <c r="E190" s="2" t="s">
        <v>20</v>
      </c>
      <c r="F190" s="2">
        <v>2</v>
      </c>
      <c r="G190" s="2">
        <f t="shared" ca="1" si="15"/>
        <v>12116</v>
      </c>
      <c r="H190" s="2">
        <v>18612</v>
      </c>
      <c r="I190" s="2">
        <v>8578</v>
      </c>
      <c r="J190" s="2" t="s">
        <v>16</v>
      </c>
      <c r="K190" s="2" t="str">
        <f t="shared" si="16"/>
        <v>Rajasthan</v>
      </c>
      <c r="L190" s="3" t="str">
        <f t="shared" ca="1" si="17"/>
        <v>Female</v>
      </c>
      <c r="M190">
        <f t="shared" ca="1" si="18"/>
        <v>49</v>
      </c>
      <c r="N190" s="2" t="str">
        <f t="shared" ca="1" si="19"/>
        <v>Adult</v>
      </c>
      <c r="O190" t="str">
        <f t="shared" ca="1" si="20"/>
        <v>Cancelled</v>
      </c>
    </row>
    <row r="191" spans="1:15">
      <c r="A191" s="2">
        <v>1190</v>
      </c>
      <c r="B191" s="1">
        <v>46090</v>
      </c>
      <c r="C191" s="1" t="str">
        <f t="shared" si="14"/>
        <v>Mar</v>
      </c>
      <c r="D191" s="2" t="s">
        <v>15</v>
      </c>
      <c r="E191" s="2" t="s">
        <v>9</v>
      </c>
      <c r="F191" s="2">
        <v>2</v>
      </c>
      <c r="G191" s="2">
        <f t="shared" ca="1" si="15"/>
        <v>2234</v>
      </c>
      <c r="H191" s="2">
        <v>9464</v>
      </c>
      <c r="I191" s="2">
        <v>656</v>
      </c>
      <c r="J191" s="2" t="s">
        <v>11</v>
      </c>
      <c r="K191" s="2" t="str">
        <f t="shared" si="16"/>
        <v>Sikkim</v>
      </c>
      <c r="L191" s="3" t="str">
        <f t="shared" ca="1" si="17"/>
        <v>Male</v>
      </c>
      <c r="M191">
        <f t="shared" ca="1" si="18"/>
        <v>25</v>
      </c>
      <c r="N191" s="2" t="str">
        <f t="shared" ca="1" si="19"/>
        <v>Adult</v>
      </c>
      <c r="O191" t="str">
        <f t="shared" ca="1" si="20"/>
        <v>Deliverd</v>
      </c>
    </row>
    <row r="192" spans="1:15">
      <c r="A192" s="2">
        <v>1191</v>
      </c>
      <c r="B192" s="1">
        <v>46195</v>
      </c>
      <c r="C192" s="1" t="str">
        <f t="shared" si="14"/>
        <v>Jun</v>
      </c>
      <c r="D192" s="2" t="s">
        <v>21</v>
      </c>
      <c r="E192" s="2" t="s">
        <v>20</v>
      </c>
      <c r="F192" s="2">
        <v>6</v>
      </c>
      <c r="G192" s="2">
        <f t="shared" ca="1" si="15"/>
        <v>2071</v>
      </c>
      <c r="H192" s="2">
        <v>108138</v>
      </c>
      <c r="I192" s="2">
        <v>25602</v>
      </c>
      <c r="J192" s="2" t="s">
        <v>14</v>
      </c>
      <c r="K192" s="2" t="str">
        <f t="shared" si="16"/>
        <v>Tamil Nadu</v>
      </c>
      <c r="L192" s="3" t="str">
        <f t="shared" ca="1" si="17"/>
        <v>Male</v>
      </c>
      <c r="M192">
        <f t="shared" ca="1" si="18"/>
        <v>20</v>
      </c>
      <c r="N192" s="2" t="str">
        <f t="shared" ca="1" si="19"/>
        <v>Adult</v>
      </c>
      <c r="O192" t="str">
        <f t="shared" ca="1" si="20"/>
        <v>Cancelled</v>
      </c>
    </row>
    <row r="193" spans="1:15">
      <c r="A193" s="2">
        <v>1192</v>
      </c>
      <c r="B193" s="1">
        <v>46143</v>
      </c>
      <c r="C193" s="1" t="str">
        <f t="shared" si="14"/>
        <v>May</v>
      </c>
      <c r="D193" s="2" t="s">
        <v>19</v>
      </c>
      <c r="E193" s="2" t="s">
        <v>20</v>
      </c>
      <c r="F193" s="2">
        <v>6</v>
      </c>
      <c r="G193" s="2">
        <f t="shared" ca="1" si="15"/>
        <v>18438</v>
      </c>
      <c r="H193" s="2">
        <v>40650</v>
      </c>
      <c r="I193" s="2">
        <v>11742</v>
      </c>
      <c r="J193" s="2" t="s">
        <v>11</v>
      </c>
      <c r="K193" s="2" t="str">
        <f t="shared" si="16"/>
        <v>Telangana</v>
      </c>
      <c r="L193" s="3" t="str">
        <f t="shared" ca="1" si="17"/>
        <v>Female</v>
      </c>
      <c r="M193">
        <f t="shared" ca="1" si="18"/>
        <v>41</v>
      </c>
      <c r="N193" s="2" t="str">
        <f t="shared" ca="1" si="19"/>
        <v>Adult</v>
      </c>
      <c r="O193" t="str">
        <f t="shared" ca="1" si="20"/>
        <v>Cancelled</v>
      </c>
    </row>
    <row r="194" spans="1:15">
      <c r="A194" s="2">
        <v>1193</v>
      </c>
      <c r="B194" s="1">
        <v>46039</v>
      </c>
      <c r="C194" s="1" t="str">
        <f t="shared" si="14"/>
        <v>Jan</v>
      </c>
      <c r="D194" s="2" t="s">
        <v>15</v>
      </c>
      <c r="E194" s="2" t="s">
        <v>9</v>
      </c>
      <c r="F194" s="2">
        <v>10</v>
      </c>
      <c r="G194" s="2">
        <f t="shared" ca="1" si="15"/>
        <v>18651</v>
      </c>
      <c r="H194" s="2">
        <v>33130</v>
      </c>
      <c r="I194" s="2">
        <v>16260</v>
      </c>
      <c r="J194" s="2" t="s">
        <v>16</v>
      </c>
      <c r="K194" s="2" t="str">
        <f t="shared" si="16"/>
        <v>Tripura</v>
      </c>
      <c r="L194" s="3" t="str">
        <f t="shared" ca="1" si="17"/>
        <v>Female</v>
      </c>
      <c r="M194">
        <f t="shared" ca="1" si="18"/>
        <v>60</v>
      </c>
      <c r="N194" s="2" t="str">
        <f t="shared" ca="1" si="19"/>
        <v>Senior</v>
      </c>
      <c r="O194" t="str">
        <f t="shared" ca="1" si="20"/>
        <v>Pending</v>
      </c>
    </row>
    <row r="195" spans="1:15">
      <c r="A195" s="2">
        <v>1194</v>
      </c>
      <c r="B195" s="1">
        <v>46034</v>
      </c>
      <c r="C195" s="1" t="str">
        <f t="shared" ref="C195:C201" si="21">TEXT(B195,"mmm")</f>
        <v>Jan</v>
      </c>
      <c r="D195" s="2" t="s">
        <v>18</v>
      </c>
      <c r="E195" s="2" t="s">
        <v>9</v>
      </c>
      <c r="F195" s="2">
        <v>7</v>
      </c>
      <c r="G195" s="2">
        <f t="shared" ref="G195:G201" ca="1" si="22">RANDBETWEEN(500,50000)</f>
        <v>33512</v>
      </c>
      <c r="H195" s="2">
        <v>75761</v>
      </c>
      <c r="I195" s="2">
        <v>12404</v>
      </c>
      <c r="J195" s="2" t="s">
        <v>11</v>
      </c>
      <c r="K195" s="2" t="str">
        <f t="shared" ref="K195:K201" si="23">CHOOSE(MOD(ROW()-2,28)+1,"Andhra Pradesh","Arunachal Pradesh","Assam","Bihar","Chhattisgarh","Goa","Gujarat","Haryana","Himachal Pradesh","Jharkhand","Karnataka","Kerala","Madhya Pradesh","Maharashtra","Manipur","Meghalaya","Mizoram","Nagaland","Odisha","Punjab","Rajasthan","Sikkim","Tamil Nadu","Telangana","Tripura","Uttar Pradesh","Uttarakhand","West Bengal")</f>
        <v>Uttar Pradesh</v>
      </c>
      <c r="L195" s="3" t="str">
        <f t="shared" ref="L195:L201" ca="1" si="24">IF(RAND()&lt;0.5,"Male","Female")</f>
        <v>Male</v>
      </c>
      <c r="M195">
        <f t="shared" ref="M195:M201" ca="1" si="25">RANDBETWEEN(18,60)</f>
        <v>43</v>
      </c>
      <c r="N195" s="2" t="str">
        <f t="shared" ref="N195:N201" ca="1" si="26">IF(M195&lt;20,"Teenager",IF(M195&lt;60,"Adult","Senior"))</f>
        <v>Adult</v>
      </c>
      <c r="O195" t="str">
        <f t="shared" ref="O195:O201" ca="1" si="27">CHOOSE(RANDBETWEEN(1,3),"Deliverd","Pending","Cancelled")</f>
        <v>Cancelled</v>
      </c>
    </row>
    <row r="196" spans="1:15">
      <c r="A196" s="2">
        <v>1195</v>
      </c>
      <c r="B196" s="1">
        <v>46083</v>
      </c>
      <c r="C196" s="1" t="str">
        <f t="shared" si="21"/>
        <v>Mar</v>
      </c>
      <c r="D196" s="2" t="s">
        <v>18</v>
      </c>
      <c r="E196" s="2" t="s">
        <v>9</v>
      </c>
      <c r="F196" s="2">
        <v>8</v>
      </c>
      <c r="G196" s="2">
        <f t="shared" ca="1" si="22"/>
        <v>4711</v>
      </c>
      <c r="H196" s="2">
        <v>86440</v>
      </c>
      <c r="I196" s="2">
        <v>12784</v>
      </c>
      <c r="J196" s="2" t="s">
        <v>10</v>
      </c>
      <c r="K196" s="2" t="str">
        <f t="shared" si="23"/>
        <v>Uttarakhand</v>
      </c>
      <c r="L196" s="3" t="str">
        <f t="shared" ca="1" si="24"/>
        <v>Male</v>
      </c>
      <c r="M196">
        <f t="shared" ca="1" si="25"/>
        <v>29</v>
      </c>
      <c r="N196" s="2" t="str">
        <f t="shared" ca="1" si="26"/>
        <v>Adult</v>
      </c>
      <c r="O196" t="str">
        <f t="shared" ca="1" si="27"/>
        <v>Deliverd</v>
      </c>
    </row>
    <row r="197" spans="1:15">
      <c r="A197" s="2">
        <v>1196</v>
      </c>
      <c r="B197" s="1">
        <v>46130</v>
      </c>
      <c r="C197" s="1" t="str">
        <f t="shared" si="21"/>
        <v>Apr</v>
      </c>
      <c r="D197" s="2" t="s">
        <v>19</v>
      </c>
      <c r="E197" s="2" t="s">
        <v>20</v>
      </c>
      <c r="F197" s="2">
        <v>8</v>
      </c>
      <c r="G197" s="2">
        <f t="shared" ca="1" si="22"/>
        <v>32896</v>
      </c>
      <c r="H197" s="2">
        <v>88624</v>
      </c>
      <c r="I197" s="2">
        <v>25696</v>
      </c>
      <c r="J197" s="2" t="s">
        <v>10</v>
      </c>
      <c r="K197" s="2" t="str">
        <f t="shared" si="23"/>
        <v>West Bengal</v>
      </c>
      <c r="L197" s="3" t="str">
        <f t="shared" ca="1" si="24"/>
        <v>Female</v>
      </c>
      <c r="M197">
        <f t="shared" ca="1" si="25"/>
        <v>21</v>
      </c>
      <c r="N197" s="2" t="str">
        <f t="shared" ca="1" si="26"/>
        <v>Adult</v>
      </c>
      <c r="O197" t="str">
        <f t="shared" ca="1" si="27"/>
        <v>Cancelled</v>
      </c>
    </row>
    <row r="198" spans="1:15">
      <c r="A198" s="2">
        <v>1197</v>
      </c>
      <c r="B198" s="1">
        <v>46094</v>
      </c>
      <c r="C198" s="1" t="str">
        <f t="shared" si="21"/>
        <v>Mar</v>
      </c>
      <c r="D198" s="2" t="s">
        <v>19</v>
      </c>
      <c r="E198" s="2" t="s">
        <v>20</v>
      </c>
      <c r="F198" s="2">
        <v>2</v>
      </c>
      <c r="G198" s="2">
        <f t="shared" ca="1" si="22"/>
        <v>14419</v>
      </c>
      <c r="H198" s="2">
        <v>26034</v>
      </c>
      <c r="I198" s="2">
        <v>5342</v>
      </c>
      <c r="J198" s="2" t="s">
        <v>11</v>
      </c>
      <c r="K198" s="2" t="str">
        <f t="shared" si="23"/>
        <v>Andhra Pradesh</v>
      </c>
      <c r="L198" s="3" t="str">
        <f t="shared" ca="1" si="24"/>
        <v>Female</v>
      </c>
      <c r="M198">
        <f t="shared" ca="1" si="25"/>
        <v>57</v>
      </c>
      <c r="N198" s="2" t="str">
        <f t="shared" ca="1" si="26"/>
        <v>Adult</v>
      </c>
      <c r="O198" t="str">
        <f t="shared" ca="1" si="27"/>
        <v>Pending</v>
      </c>
    </row>
    <row r="199" spans="1:15">
      <c r="A199" s="2">
        <v>1198</v>
      </c>
      <c r="B199" s="1">
        <v>46083</v>
      </c>
      <c r="C199" s="1" t="str">
        <f t="shared" si="21"/>
        <v>Mar</v>
      </c>
      <c r="D199" s="2" t="s">
        <v>15</v>
      </c>
      <c r="E199" s="2" t="s">
        <v>9</v>
      </c>
      <c r="F199" s="2">
        <v>4</v>
      </c>
      <c r="G199" s="2">
        <f t="shared" ca="1" si="22"/>
        <v>13634</v>
      </c>
      <c r="H199" s="2">
        <v>20528</v>
      </c>
      <c r="I199" s="2">
        <v>4840</v>
      </c>
      <c r="J199" s="2" t="s">
        <v>14</v>
      </c>
      <c r="K199" s="2" t="str">
        <f t="shared" si="23"/>
        <v>Arunachal Pradesh</v>
      </c>
      <c r="L199" s="3" t="str">
        <f t="shared" ca="1" si="24"/>
        <v>Male</v>
      </c>
      <c r="M199">
        <f t="shared" ca="1" si="25"/>
        <v>48</v>
      </c>
      <c r="N199" s="2" t="str">
        <f t="shared" ca="1" si="26"/>
        <v>Adult</v>
      </c>
      <c r="O199" t="str">
        <f t="shared" ca="1" si="27"/>
        <v>Cancelled</v>
      </c>
    </row>
    <row r="200" spans="1:15">
      <c r="A200" s="2">
        <v>1199</v>
      </c>
      <c r="B200" s="1">
        <v>46114</v>
      </c>
      <c r="C200" s="1" t="str">
        <f t="shared" si="21"/>
        <v>Apr</v>
      </c>
      <c r="D200" s="2" t="s">
        <v>8</v>
      </c>
      <c r="E200" s="2" t="s">
        <v>9</v>
      </c>
      <c r="F200" s="2">
        <v>6</v>
      </c>
      <c r="G200" s="2">
        <f t="shared" ca="1" si="22"/>
        <v>25045</v>
      </c>
      <c r="H200" s="2">
        <v>9690</v>
      </c>
      <c r="I200" s="2">
        <v>2880</v>
      </c>
      <c r="J200" s="2" t="s">
        <v>11</v>
      </c>
      <c r="K200" s="2" t="str">
        <f t="shared" si="23"/>
        <v>Assam</v>
      </c>
      <c r="L200" s="3" t="str">
        <f t="shared" ca="1" si="24"/>
        <v>Male</v>
      </c>
      <c r="M200">
        <f t="shared" ca="1" si="25"/>
        <v>36</v>
      </c>
      <c r="N200" s="2" t="str">
        <f t="shared" ca="1" si="26"/>
        <v>Adult</v>
      </c>
      <c r="O200" t="str">
        <f t="shared" ca="1" si="27"/>
        <v>Pending</v>
      </c>
    </row>
    <row r="201" spans="1:15">
      <c r="A201" s="2">
        <v>1200</v>
      </c>
      <c r="B201" s="1">
        <v>46139</v>
      </c>
      <c r="C201" s="1" t="str">
        <f t="shared" si="21"/>
        <v>Apr</v>
      </c>
      <c r="D201" s="2" t="s">
        <v>19</v>
      </c>
      <c r="E201" s="2" t="s">
        <v>20</v>
      </c>
      <c r="F201" s="2">
        <v>5</v>
      </c>
      <c r="G201" s="2">
        <f t="shared" ca="1" si="22"/>
        <v>5612</v>
      </c>
      <c r="H201" s="2">
        <v>40545</v>
      </c>
      <c r="I201" s="2">
        <v>7500</v>
      </c>
      <c r="J201" s="2" t="s">
        <v>11</v>
      </c>
      <c r="K201" s="2" t="str">
        <f t="shared" si="23"/>
        <v>Bihar</v>
      </c>
      <c r="L201" s="3" t="str">
        <f t="shared" ca="1" si="24"/>
        <v>Male</v>
      </c>
      <c r="M201">
        <f t="shared" ca="1" si="25"/>
        <v>49</v>
      </c>
      <c r="N201" s="2" t="str">
        <f t="shared" ca="1" si="26"/>
        <v>Adult</v>
      </c>
      <c r="O201" t="str">
        <f t="shared" ca="1" si="27"/>
        <v>Deliverd</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report </vt:lpstr>
      <vt:lpstr>sales vs order</vt:lpstr>
      <vt:lpstr>men vs women</vt:lpstr>
      <vt:lpstr>Sheet7</vt:lpstr>
      <vt:lpstr>Sheet12</vt:lpstr>
      <vt:lpstr>age group</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ramanjha8709@outlook.com</dc:creator>
  <cp:lastModifiedBy>ramanjha8709@outlook.com</cp:lastModifiedBy>
  <dcterms:created xsi:type="dcterms:W3CDTF">2026-09-04T11:56:59Z</dcterms:created>
  <dcterms:modified xsi:type="dcterms:W3CDTF">2026-10-22T07:42:05Z</dcterms:modified>
</cp:coreProperties>
</file>